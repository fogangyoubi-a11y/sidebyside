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Mensuel - An 1" sheetId="2" state="visible" r:id="rId4"/>
    <sheet name="Annuel - An 1 à 3" sheetId="3" state="visible" r:id="rId5"/>
    <sheet name="Scénarios" sheetId="4" state="visible" r:id="rId6"/>
    <sheet name="Note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<sst xmlns="http://schemas.openxmlformats.org/spreadsheetml/2006/main" count="354" uniqueCount="221">
  <si>
    <t xml:space="preserve">SIDEBYSIDE — HYPOTHÈSES DE LA PROJECTION FINANCIÈRE (3 ANS)</t>
  </si>
  <si>
    <t xml:space="preserve">Cellules en bleu = valeurs modifiables. Tout le reste du classeur recalcule automatiquement.</t>
  </si>
  <si>
    <t xml:space="preserve">1. Contexte de marché (référence — n'entre pas dans les calculs)</t>
  </si>
  <si>
    <t xml:space="preserve">Libellé</t>
  </si>
  <si>
    <t xml:space="preserve">Valeur</t>
  </si>
  <si>
    <t xml:space="preserve">Unité</t>
  </si>
  <si>
    <t xml:space="preserve">Source / note</t>
  </si>
  <si>
    <t xml:space="preserve">Population agglomération Douala</t>
  </si>
  <si>
    <t xml:space="preserve">habitants</t>
  </si>
  <si>
    <t xml:space="preserve">Source : macrotrends.net / worldpopulationreview.com, estimation 2025</t>
  </si>
  <si>
    <t xml:space="preserve">Population agglomération Yaoundé</t>
  </si>
  <si>
    <t xml:space="preserve">Source : worldpopulationreview.com, estimation 2025</t>
  </si>
  <si>
    <t xml:space="preserve">Population agglomération Bafoussam</t>
  </si>
  <si>
    <t xml:space="preserve">Source : macrotrends.net, estimation 2025</t>
  </si>
  <si>
    <t xml:space="preserve">Comptes mobile money actifs au Cameroun</t>
  </si>
  <si>
    <t xml:space="preserve">comptes</t>
  </si>
  <si>
    <t xml:space="preserve">Source : GSMA / Investir au Cameroun, 2025 — Cameroun = 62% des comptes actifs CEMAC</t>
  </si>
  <si>
    <t xml:space="preserve">2. Offre — chauffeurs actifs</t>
  </si>
  <si>
    <t xml:space="preserve">Chauffeurs actifs au lancement (mois 1)</t>
  </si>
  <si>
    <t xml:space="preserve">chauffeurs</t>
  </si>
  <si>
    <t xml:space="preserve">Hypothèse — phase pilote sur l'axe Douala ↔ Bafoussam</t>
  </si>
  <si>
    <t xml:space="preserve">Croissance mensuelle du nb de chauffeurs (mois 1-6)</t>
  </si>
  <si>
    <t xml:space="preserve">%/mois</t>
  </si>
  <si>
    <t xml:space="preserve">Hypothèse — phase d'acquisition active</t>
  </si>
  <si>
    <t xml:space="preserve">Croissance mensuelle du nb de chauffeurs (mois 7-12)</t>
  </si>
  <si>
    <t xml:space="preserve">Hypothèse — croissance qui se stabilise après la phase de lancement</t>
  </si>
  <si>
    <t xml:space="preserve">Croissance mensuelle moyenne du nb de chauffeurs (An 2)</t>
  </si>
  <si>
    <t xml:space="preserve">Hypothèse — extension à Yaoundé</t>
  </si>
  <si>
    <t xml:space="preserve">Croissance mensuelle moyenne du nb de chauffeurs (An 3)</t>
  </si>
  <si>
    <t xml:space="preserve">Hypothèse — marché en maturité progressive</t>
  </si>
  <si>
    <t xml:space="preserve">3. Activité par chauffeur</t>
  </si>
  <si>
    <t xml:space="preserve">Trajets par chauffeur / mois — mois 1</t>
  </si>
  <si>
    <t xml:space="preserve">trajets</t>
  </si>
  <si>
    <t xml:space="preserve">Hypothèse — début d'activité</t>
  </si>
  <si>
    <t xml:space="preserve">Trajets par chauffeur / mois — mois 12</t>
  </si>
  <si>
    <t xml:space="preserve">Hypothèse — fidélisation progressive sur l'année 1</t>
  </si>
  <si>
    <t xml:space="preserve">Trajets par chauffeur / mois — moyenne An 2</t>
  </si>
  <si>
    <t xml:space="preserve">Hypothèse</t>
  </si>
  <si>
    <t xml:space="preserve">Trajets par chauffeur / mois — moyenne An 3</t>
  </si>
  <si>
    <t xml:space="preserve">Capacité moyenne par trajet</t>
  </si>
  <si>
    <t xml:space="preserve">places</t>
  </si>
  <si>
    <t xml:space="preserve">Cohérent avec des véhicules particuliers (modèle Vehicle du backend)</t>
  </si>
  <si>
    <t xml:space="preserve">Taux de remplissage moyen — mois 1</t>
  </si>
  <si>
    <t xml:space="preserve">%</t>
  </si>
  <si>
    <t xml:space="preserve">Taux de remplissage moyen — mois 12</t>
  </si>
  <si>
    <t xml:space="preserve">Taux de remplissage moyen — An 2</t>
  </si>
  <si>
    <t xml:space="preserve">Taux de remplissage moyen — An 3</t>
  </si>
  <si>
    <t xml:space="preserve">4. Tarifs et panier moyen</t>
  </si>
  <si>
    <t xml:space="preserve">Prix du trajet — Standard</t>
  </si>
  <si>
    <t xml:space="preserve">FCFA</t>
  </si>
  <si>
    <t xml:space="preserve">Source : src/lib/commissionTiers.ts (OFFICIAL_PRICES), axe Douala–Bafoussam</t>
  </si>
  <si>
    <t xml:space="preserve">Prix du trajet — Confort</t>
  </si>
  <si>
    <t xml:space="preserve">Source : src/lib/commissionTiers.ts (OFFICIAL_PRICES)</t>
  </si>
  <si>
    <t xml:space="preserve">Prix du trajet — Premium VIP</t>
  </si>
  <si>
    <t xml:space="preserve">Répartition des réservations — Standard</t>
  </si>
  <si>
    <t xml:space="preserve">Répartition des réservations — Confort</t>
  </si>
  <si>
    <t xml:space="preserve">Répartition des réservations — Premium VIP</t>
  </si>
  <si>
    <t xml:space="preserve">Panier moyen domestique (calculé)</t>
  </si>
  <si>
    <t xml:space="preserve">Calcul : somme pondérée des 3 tarifs par leur poids dans le mix de réservations</t>
  </si>
  <si>
    <t xml:space="preserve">% réservations « cadeau diaspora » — mois 1</t>
  </si>
  <si>
    <t xml:space="preserve">% réservations « cadeau diaspora » — mois 12</t>
  </si>
  <si>
    <t xml:space="preserve">% réservations « cadeau diaspora » — An 2</t>
  </si>
  <si>
    <t xml:space="preserve">% réservations « cadeau diaspora » — An 3</t>
  </si>
  <si>
    <t xml:space="preserve">Multiplicateur panier « cadeau diaspora » vs domestique</t>
  </si>
  <si>
    <t xml:space="preserve">x</t>
  </si>
  <si>
    <t xml:space="preserve">Hypothèse — paiement en EUR, générosité familiale (mode gift/family)</t>
  </si>
  <si>
    <t xml:space="preserve">5. Commission et paiement</t>
  </si>
  <si>
    <t xml:space="preserve">Palier commission — 1 à 10 trajets/mois</t>
  </si>
  <si>
    <t xml:space="preserve">Source : src/lib/commissionTiers.ts (COMMISSION_TIERS)</t>
  </si>
  <si>
    <t xml:space="preserve">Palier commission — 11 à 20 trajets/mois</t>
  </si>
  <si>
    <t xml:space="preserve">Palier commission — 21 trajets/mois et plus</t>
  </si>
  <si>
    <t xml:space="preserve">Taux de commission moyen pondéré — An 1</t>
  </si>
  <si>
    <t xml:space="preserve">Hypothèse — la majorité des chauffeurs restent au palier 15% en An 1</t>
  </si>
  <si>
    <t xml:space="preserve">Taux de commission moyen pondéré — An 2</t>
  </si>
  <si>
    <t xml:space="preserve">Hypothèse — davantage de chauffeurs atteignent le palier 12%</t>
  </si>
  <si>
    <t xml:space="preserve">Taux de commission moyen pondéré — An 3</t>
  </si>
  <si>
    <t xml:space="preserve">Hypothèse — mix de chauffeurs plus mature</t>
  </si>
  <si>
    <t xml:space="preserve">% réservations payées en mobile money — mois 1</t>
  </si>
  <si>
    <t xml:space="preserve">Hypothèse — cohérente avec la forte pénétration mobile money au Cameroun</t>
  </si>
  <si>
    <t xml:space="preserve">% réservations payées en mobile money — mois 12</t>
  </si>
  <si>
    <t xml:space="preserve">% réservations payées en mobile money — An 2 et An 3</t>
  </si>
  <si>
    <t xml:space="preserve">Remise incitation paiement digital / réservation</t>
  </si>
  <si>
    <t xml:space="preserve">Source : src/lib/commissionTiers.ts (DIGITAL_PAYMENT_DISCOUNT_XAF)</t>
  </si>
  <si>
    <t xml:space="preserve">Frais de passerelle de paiement (% du volume digital)</t>
  </si>
  <si>
    <t xml:space="preserve">Hypothèse — frais typiques agrégateur mobile money (MTN/Orange via Campay)</t>
  </si>
  <si>
    <t xml:space="preserve">Coût de vérification KYC par nouveau chauffeur</t>
  </si>
  <si>
    <t xml:space="preserve">Hypothèse — SMS OTP + temps de revue documents</t>
  </si>
  <si>
    <t xml:space="preserve">6. Coûts fixes (Opex)</t>
  </si>
  <si>
    <t xml:space="preserve">Infra &amp; hébergement — base mensuelle (mois 1)</t>
  </si>
  <si>
    <t xml:space="preserve">FCFA/mois</t>
  </si>
  <si>
    <t xml:space="preserve">Hypothèse — Vercel Pro, base de données, stockage images, SMS OTP</t>
  </si>
  <si>
    <t xml:space="preserve">Infra &amp; hébergement — croissance mensuelle (An 1)</t>
  </si>
  <si>
    <t xml:space="preserve">Hypothèse — coût qui suit le volume de trajets</t>
  </si>
  <si>
    <t xml:space="preserve">Infra &amp; hébergement — budget annuel (An 2)</t>
  </si>
  <si>
    <t xml:space="preserve">FCFA/an</t>
  </si>
  <si>
    <t xml:space="preserve">Infra &amp; hébergement — budget annuel (An 3)</t>
  </si>
  <si>
    <t xml:space="preserve">Effectif salarié — mois 1 à 6</t>
  </si>
  <si>
    <t xml:space="preserve">personnes</t>
  </si>
  <si>
    <t xml:space="preserve">Hypothèse — fondateur seul, non salarié dans ce modèle</t>
  </si>
  <si>
    <t xml:space="preserve">Effectif salarié — mois 7 à 12</t>
  </si>
  <si>
    <t xml:space="preserve">Hypothèse — 1er recrutement (support/opérations, vérif. KYC)</t>
  </si>
  <si>
    <t xml:space="preserve">Effectif salarié — moyenne An 2</t>
  </si>
  <si>
    <t xml:space="preserve">Hypothèse — + développeur, + growth/acquisition</t>
  </si>
  <si>
    <t xml:space="preserve">Effectif salarié — moyenne An 3</t>
  </si>
  <si>
    <t xml:space="preserve">Salaire chargé moyen / personne / mois</t>
  </si>
  <si>
    <t xml:space="preserve">Marketing &amp; acquisition — base mensuelle (mois 1)</t>
  </si>
  <si>
    <t xml:space="preserve">Marketing &amp; acquisition — croissance mensuelle (An 1)</t>
  </si>
  <si>
    <t xml:space="preserve">Marketing &amp; acquisition — budget annuel (An 2)</t>
  </si>
  <si>
    <t xml:space="preserve">Hypothèse — ouverture Yaoundé</t>
  </si>
  <si>
    <t xml:space="preserve">Marketing &amp; acquisition — budget annuel (An 3)</t>
  </si>
  <si>
    <t xml:space="preserve">Frais généraux &amp; légal — mensuel (An 1)</t>
  </si>
  <si>
    <t xml:space="preserve">Hypothèse — comptabilité, assurance, divers</t>
  </si>
  <si>
    <t xml:space="preserve">Frais généraux &amp; légal — mensuel (An 2)</t>
  </si>
  <si>
    <t xml:space="preserve">Frais généraux &amp; légal — mensuel (An 3)</t>
  </si>
  <si>
    <t xml:space="preserve">SIDEBYSIDE — PROJECTION MENSUELLE, ANNÉE 1</t>
  </si>
  <si>
    <t xml:space="preserve">Indicateur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</si>
  <si>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</si>
  <si>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</si>
  <si>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</si>
  <si>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</si>
  <si>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</si>
  <si>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</si>
  <si>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</si>
  <si>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</si>
  <si>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</si>
  <si>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</si>
  <si>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</si>
  <si>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</si>
  <si>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/ Fin d'année</t>
  </si>
  <si>
    <t xml:space="preserve">Chauffeurs actifs (fin de mois)</t>
  </si>
  <si>
    <t xml:space="preserve">Nouveaux chauffeurs recrutés (mois)</t>
  </si>
  <si>
    <t xml:space="preserve">Trajets par chauffeur / mois (moyenne)</t>
  </si>
  <si>
    <t xml:space="preserve">Trajets publiés (total)</t>
  </si>
  <si>
    <t xml:space="preserve">Taux de remplissage moyen</t>
  </si>
  <si>
    <t xml:space="preserve">Places vendues par trajet</t>
  </si>
  <si>
    <t xml:space="preserve">Réservations totales (places réservées)</t>
  </si>
  <si>
    <t xml:space="preserve">% réservations « cadeau diaspora »</t>
  </si>
  <si>
    <t xml:space="preserve">Réservations domestiques</t>
  </si>
  <si>
    <t xml:space="preserve">Réservations « cadeau diaspora »</t>
  </si>
  <si>
    <t xml:space="preserve">Panier moyen domestique</t>
  </si>
  <si>
    <t xml:space="preserve">Panier moyen « cadeau diaspora »</t>
  </si>
  <si>
    <t xml:space="preserve">GMV domestique</t>
  </si>
  <si>
    <t xml:space="preserve">GMV « cadeau diaspora »</t>
  </si>
  <si>
    <t xml:space="preserve">GMV total</t>
  </si>
  <si>
    <t xml:space="preserve">Taux de commission moyen</t>
  </si>
  <si>
    <t xml:space="preserve">Revenu commission (brut)</t>
  </si>
  <si>
    <t xml:space="preserve">% réservations payées en mobile money</t>
  </si>
  <si>
    <t xml:space="preserve">Réservations payées en digital</t>
  </si>
  <si>
    <t xml:space="preserve">Coûts variables</t>
  </si>
  <si>
    <t xml:space="preserve">Remise incitation paiement digital</t>
  </si>
  <si>
    <t xml:space="preserve">Frais de passerelle de paiement</t>
  </si>
  <si>
    <t xml:space="preserve">Coût vérification KYC (nouveaux chauffeurs)</t>
  </si>
  <si>
    <t xml:space="preserve">Coûts variables totaux</t>
  </si>
  <si>
    <t xml:space="preserve">Marge brute</t>
  </si>
  <si>
    <t xml:space="preserve">Coûts fixes (Opex)</t>
  </si>
  <si>
    <t xml:space="preserve">Infra &amp; hébergement</t>
  </si>
  <si>
    <t xml:space="preserve">Effectif salarié</t>
  </si>
  <si>
    <t xml:space="preserve">Masse salariale</t>
  </si>
  <si>
    <t xml:space="preserve">Marketing &amp; acquisition</t>
  </si>
  <si>
    <t xml:space="preserve">Frais généraux &amp; légal</t>
  </si>
  <si>
    <t xml:space="preserve">Coûts fixes totaux</t>
  </si>
  <si>
    <t xml:space="preserve">Résultat</t>
  </si>
  <si>
    <t xml:space="preserve">EBITDA (résultat opérationnel)</t>
  </si>
  <si>
    <t xml:space="preserve">EBITDA cumulé (trésorerie opérationnelle)</t>
  </si>
  <si>
    <t xml:space="preserve">SIDEBYSIDE — PROJECTION ANNUELLE, ANNÉES 1 À 3</t>
  </si>
  <si>
    <t xml:space="preserve">Année 1</t>
  </si>
  <si>
    <t xml:space="preserve">Année 2</t>
  </si>
  <si>
    <t xml:space="preserve">Année 3</t>
  </si>
  <si>
    <t xml:space="preserve">Chauffeurs actifs — début d'année</t>
  </si>
  <si>
    <t xml:space="preserve">Chauffeurs actifs — fin d'année</t>
  </si>
  <si>
    <t xml:space="preserve">Chauffeurs actifs — moyenne</t>
  </si>
  <si>
    <t xml:space="preserve">Trajets publiés (total année)</t>
  </si>
  <si>
    <t xml:space="preserve">Nouveaux chauffeurs (année)</t>
  </si>
  <si>
    <t xml:space="preserve">Effectif salarié (moyenne)</t>
  </si>
  <si>
    <t xml:space="preserve">Infra &amp; hébergement (année)</t>
  </si>
  <si>
    <t xml:space="preserve">Masse salariale (année)</t>
  </si>
  <si>
    <t xml:space="preserve">Marketing &amp; acquisition (année)</t>
  </si>
  <si>
    <t xml:space="preserve">Frais généraux &amp; légal (année)</t>
  </si>
  <si>
    <t xml:space="preserve">Marge EBITDA (% du revenu commission)</t>
  </si>
  <si>
    <t xml:space="preserve">Trésorerie opérationnelle cumulée (fin d'année)</t>
  </si>
  <si>
    <t xml:space="preserve">SIDEBYSIDE — SCÉNARIO PESSIMISTE VS BASE (ANNÉE 1)</t>
  </si>
  <si>
    <t xml:space="preserve">Cellules en bleu = dégradations modifiables vs le scénario de base. Le reste recalcule automatiquement.</t>
  </si>
  <si>
    <t xml:space="preserve">Hypothèses de dégradation (vs scénario de base, Année 1)</t>
  </si>
  <si>
    <t xml:space="preserve">Chauffeurs actifs fin d'année (variation)</t>
  </si>
  <si>
    <t xml:space="preserve">Churn plus élevé que prévu : moins de chauffeurs retenus sur la durée</t>
  </si>
  <si>
    <t xml:space="preserve">Trajets / chauffeur / mois (variation)</t>
  </si>
  <si>
    <t xml:space="preserve">Chauffeurs restants moins actifs / moins fidélisés</t>
  </si>
  <si>
    <t xml:space="preserve">Taux de remplissage moyen (variation)</t>
  </si>
  <si>
    <t xml:space="preserve">Demande passagers plus faible que prévu</t>
  </si>
  <si>
    <t xml:space="preserve">Adoption « cadeau diaspora » (variation)</t>
  </si>
  <si>
    <t xml:space="preserve">Canal diaspora plus lent à démarrer (confiance, acquisition à l'étranger)</t>
  </si>
  <si>
    <t xml:space="preserve">Budget marketing (variation)</t>
  </si>
  <si>
    <t xml:space="preserve">Effort supplémentaire supposé pour contrer le churn chauffeurs/passagers</t>
  </si>
  <si>
    <t xml:space="preserve">Indicateur (Année 1)</t>
  </si>
  <si>
    <t xml:space="preserve">Base</t>
  </si>
  <si>
    <t xml:space="preserve">Pessimiste</t>
  </si>
  <si>
    <t xml:space="preserve">Écart</t>
  </si>
  <si>
    <t xml:space="preserve">Commentaire</t>
  </si>
  <si>
    <t xml:space="preserve">Le marketing intègre le surcoût de rétention défini ci-dessus.</t>
  </si>
  <si>
    <t xml:space="preserve">Lecture : même avec un churn chauffeurs, une adoption diaspora et un remplissage nettement dégradés, vérifiez si l'EBITDA reste positif ci-dessus — c'est le test de robustesse du modèle. Modifiez les hypothèses de dégradation en haut de cet onglet pour tester d'autres scénarios.</t>
  </si>
  <si>
    <t xml:space="preserve">SIDEBYSIDE — NOTES, SOURCES ET LIMITES DU MODÈLE</t>
  </si>
  <si>
    <t xml:space="preserve">Comment utiliser ce fichier</t>
  </si>
  <si>
    <t xml:space="preserve">• Toutes les hypothèses modifiables sont dans l'onglet « Hypothèses », sur fond jaune / texte bleu. Change une valeur et tout le reste (Mensuel, Annuel) se recalcule automatiquement.</t>
  </si>
  <si>
    <t xml:space="preserve">• L'onglet « Mensuel - An 1 » construit le modèle mois par mois. L'onglet « Annuel - An 1 à 3 » reprend les totaux de l'année 1 et projette les années 2 et 3 à partir de leurs propres hypothèses (croissance du nombre de chauffeurs, trajets/chauffeur, coûts fixes).</t>
  </si>
  <si>
    <t xml:space="preserve">Chiffres directement issus du code de l'application (pas des hypothèses)</t>
  </si>
  <si>
    <t xml:space="preserve">• Tarifs officiels (Standard 4 500 / Confort 6 500 / VIP 7 500 FCFA) — src/lib/commissionTiers.ts, OFFICIAL_PRICES, axe Douala–Bafoussam.</t>
  </si>
  <si>
    <t xml:space="preserve">• Paliers de commission dégressive (15% / 12% / 10% selon le nombre de trajets du chauffeur dans le mois) — src/lib/commissionTiers.ts, COMMISSION_TIERS.</t>
  </si>
  <si>
    <t xml:space="preserve">• Remise de 200 FCFA accordée au passager qui paie en mobile money — src/lib/commissionTiers.ts, DIGITAL_PAYMENT_DISCOUNT_XAF.</t>
  </si>
  <si>
    <t xml:space="preserve">Chiffres de marché sourcés (contexte, n'entrent pas dans les calculs)</t>
  </si>
  <si>
    <t xml:space="preserve">• Population Douala (agglomération) ≈ 4,35M ; Yaoundé ≈ 3,76M ; Bafoussam ≈ 496k — estimations 2025, macrotrends.net et worldpopulationreview.com.</t>
  </si>
  <si>
    <t xml:space="preserve">• Le Cameroun compte environ 25M de comptes mobile money actifs, soit 62% des comptes actifs de la zone CEMAC, et le mobile money pèse environ 5% du PIB national — GSMA 2025 / Investir au Cameroun / Financial Afrik, 2025.</t>
  </si>
  <si>
    <t xml:space="preserve">Hypothèses — à valider / ajuster en priorité</t>
  </si>
  <si>
    <t xml:space="preserve">• Croissance du nombre de chauffeurs actifs (15%/mois puis 8%/mois en An 1, 6%/mois en An 2, 3%/mois en An 3) : c'est le principal levier du modèle. Une acquisition plus lente ou plus rapide change fortement les résultats — à tester en modifiant les cellules correspondantes.</t>
  </si>
  <si>
    <t xml:space="preserve">• Mix de réservations « cadeau diaspora » et son panier moyen majoré (x1,8) : hypothèse raisonnable vu le positionnement produit, mais non mesurée sur données réelles.</t>
  </si>
  <si>
    <t xml:space="preserve">• Taux de commission moyen pondéré par an (14% / 12,5% / 11,5%) : approxime la migration des chauffeurs vers les paliers dégressifs au fil du temps, plutôt que de simuler chaque chauffeur individuellement.</t>
  </si>
  <si>
    <t xml:space="preserve">• Coûts fixes (effectif, salaires, marketing, infra) : volontairement frugaux en Année 1 (fondateur non salarié les 6 premiers mois) — à ajuster selon la réalité de financement du projet.</t>
  </si>
  <si>
    <t xml:space="preserve">Limites du modèle</t>
  </si>
  <si>
    <t xml:space="preserve">• Pas d'impôt sur les sociétés ni de charges financières modélisés — l'EBITDA est un résultat opérationnel avant impôt, amortissement et financement, pas un résultat net. À faire valider par un comptable pour la fiscalité applicable.</t>
  </si>
  <si>
    <t xml:space="preserve">• Pas d'investissement initial (capex, dépôt de garantie, stock de trésorerie de départ) : la ligne « trésorerie opérationnelle cumulée » part de 0, elle mesure le cash généré par l'activité, pas la trésorerie réelle de l'entreprise.</t>
  </si>
  <si>
    <t xml:space="preserve">• Pas d'inflation appliquée aux tarifs des trajets sur 3 ans : les prix restent constants dans le modèle.</t>
  </si>
  <si>
    <t xml:space="preserve">• Le scénario de base (onglets Mensuel/Annuel) est central. Un test de sensibilité pessimiste (churn chauffeurs, adoption diaspora et remplissage dégradés) est disponible dans l'onglet « Scénarios ». Pour un scénario optimiste, dupliquer l'onglet Hypothèses et ajuster les taux à la hausse.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</si>
</sst>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&quot; FCFA&quot;"/>
    <numFmt numFmtId="167" formatCode="0.00\x"/>
    <numFmt numFmtId="168" formatCode="#,##0"/>
    <numFmt numFmtId="169" formatCode="0.0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6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4346000</v>
      </c>
      <c r="C6" s="7" t="s">
        <v>8</v>
      </c>
      <c r="D6" s="8" t="s">
        <v>9</v>
      </c>
    </row>
    <row r="7" customFormat="false" ht="15" hidden="false" customHeight="false" outlineLevel="0" collapsed="false">
      <c r="A7" s="5" t="s">
        <v>10</v>
      </c>
      <c r="B7" s="6" t="n">
        <v>3762900</v>
      </c>
      <c r="C7" s="7" t="s">
        <v>8</v>
      </c>
      <c r="D7" s="8" t="s">
        <v>11</v>
      </c>
    </row>
    <row r="8" customFormat="false" ht="15" hidden="false" customHeight="false" outlineLevel="0" collapsed="false">
      <c r="A8" s="5" t="s">
        <v>12</v>
      </c>
      <c r="B8" s="6" t="n">
        <v>496000</v>
      </c>
      <c r="C8" s="7" t="s">
        <v>8</v>
      </c>
      <c r="D8" s="8" t="s">
        <v>13</v>
      </c>
    </row>
    <row r="9" customFormat="false" ht="22.35" hidden="false" customHeight="false" outlineLevel="0" collapsed="false">
      <c r="A9" s="5" t="s">
        <v>14</v>
      </c>
      <c r="B9" s="6" t="n">
        <v>25000000</v>
      </c>
      <c r="C9" s="7" t="s">
        <v>15</v>
      </c>
      <c r="D9" s="8" t="s">
        <v>16</v>
      </c>
    </row>
    <row r="11" customFormat="false" ht="15" hidden="false" customHeight="false" outlineLevel="0" collapsed="false">
      <c r="A11" s="3" t="s">
        <v>17</v>
      </c>
      <c r="B11" s="3"/>
      <c r="C11" s="3"/>
      <c r="D11" s="3"/>
    </row>
    <row r="12" customFormat="false" ht="15" hidden="false" customHeight="false" outlineLevel="0" collapsed="false">
      <c r="A12" s="4" t="s">
        <v>3</v>
      </c>
      <c r="B12" s="4" t="s">
        <v>4</v>
      </c>
      <c r="C12" s="4" t="s">
        <v>5</v>
      </c>
      <c r="D12" s="4" t="s">
        <v>6</v>
      </c>
    </row>
    <row r="13" customFormat="false" ht="15" hidden="false" customHeight="false" outlineLevel="0" collapsed="false">
      <c r="A13" s="5" t="s">
        <v>18</v>
      </c>
      <c r="B13" s="9" t="n">
        <v>15</v>
      </c>
      <c r="C13" s="7" t="s">
        <v>19</v>
      </c>
      <c r="D13" s="8" t="s">
        <v>20</v>
      </c>
    </row>
    <row r="14" customFormat="false" ht="15" hidden="false" customHeight="false" outlineLevel="0" collapsed="false">
      <c r="A14" s="5" t="s">
        <v>21</v>
      </c>
      <c r="B14" s="10" t="n">
        <v>0.15</v>
      </c>
      <c r="C14" s="7" t="s">
        <v>22</v>
      </c>
      <c r="D14" s="8" t="s">
        <v>23</v>
      </c>
    </row>
    <row r="15" customFormat="false" ht="15" hidden="false" customHeight="false" outlineLevel="0" collapsed="false">
      <c r="A15" s="5" t="s">
        <v>24</v>
      </c>
      <c r="B15" s="10" t="n">
        <v>0.08</v>
      </c>
      <c r="C15" s="7" t="s">
        <v>22</v>
      </c>
      <c r="D15" s="8" t="s">
        <v>25</v>
      </c>
    </row>
    <row r="16" customFormat="false" ht="15" hidden="false" customHeight="false" outlineLevel="0" collapsed="false">
      <c r="A16" s="5" t="s">
        <v>26</v>
      </c>
      <c r="B16" s="10" t="n">
        <v>0.06</v>
      </c>
      <c r="C16" s="7" t="s">
        <v>22</v>
      </c>
      <c r="D16" s="8" t="s">
        <v>27</v>
      </c>
    </row>
    <row r="17" customFormat="false" ht="15" hidden="false" customHeight="false" outlineLevel="0" collapsed="false">
      <c r="A17" s="5" t="s">
        <v>28</v>
      </c>
      <c r="B17" s="10" t="n">
        <v>0.03</v>
      </c>
      <c r="C17" s="7" t="s">
        <v>22</v>
      </c>
      <c r="D17" s="8" t="s">
        <v>29</v>
      </c>
    </row>
    <row r="19" customFormat="false" ht="15" hidden="false" customHeight="false" outlineLevel="0" collapsed="false">
      <c r="A19" s="3" t="s">
        <v>30</v>
      </c>
      <c r="B19" s="3"/>
      <c r="C19" s="3"/>
      <c r="D19" s="3"/>
    </row>
    <row r="20" customFormat="false" ht="15" hidden="false" customHeight="false" outlineLevel="0" collapsed="false">
      <c r="A20" s="4" t="s">
        <v>3</v>
      </c>
      <c r="B20" s="4" t="s">
        <v>4</v>
      </c>
      <c r="C20" s="4" t="s">
        <v>5</v>
      </c>
      <c r="D20" s="4" t="s">
        <v>6</v>
      </c>
    </row>
    <row r="21" customFormat="false" ht="15" hidden="false" customHeight="false" outlineLevel="0" collapsed="false">
      <c r="A21" s="5" t="s">
        <v>31</v>
      </c>
      <c r="B21" s="9" t="n">
        <v>8</v>
      </c>
      <c r="C21" s="7" t="s">
        <v>32</v>
      </c>
      <c r="D21" s="8" t="s">
        <v>33</v>
      </c>
    </row>
    <row r="22" customFormat="false" ht="15" hidden="false" customHeight="false" outlineLevel="0" collapsed="false">
      <c r="A22" s="5" t="s">
        <v>34</v>
      </c>
      <c r="B22" s="9" t="n">
        <v>18</v>
      </c>
      <c r="C22" s="7" t="s">
        <v>32</v>
      </c>
      <c r="D22" s="8" t="s">
        <v>35</v>
      </c>
    </row>
    <row r="23" customFormat="false" ht="15" hidden="false" customHeight="false" outlineLevel="0" collapsed="false">
      <c r="A23" s="5" t="s">
        <v>36</v>
      </c>
      <c r="B23" s="9" t="n">
        <v>20</v>
      </c>
      <c r="C23" s="7" t="s">
        <v>32</v>
      </c>
      <c r="D23" s="8" t="s">
        <v>37</v>
      </c>
    </row>
    <row r="24" customFormat="false" ht="15" hidden="false" customHeight="false" outlineLevel="0" collapsed="false">
      <c r="A24" s="5" t="s">
        <v>38</v>
      </c>
      <c r="B24" s="9" t="n">
        <v>22</v>
      </c>
      <c r="C24" s="7" t="s">
        <v>32</v>
      </c>
      <c r="D24" s="8" t="s">
        <v>37</v>
      </c>
    </row>
    <row r="25" customFormat="false" ht="15" hidden="false" customHeight="false" outlineLevel="0" collapsed="false">
      <c r="A25" s="5" t="s">
        <v>39</v>
      </c>
      <c r="B25" s="9" t="n">
        <v>4</v>
      </c>
      <c r="C25" s="7" t="s">
        <v>40</v>
      </c>
      <c r="D25" s="8" t="s">
        <v>41</v>
      </c>
    </row>
    <row r="26" customFormat="false" ht="15" hidden="false" customHeight="false" outlineLevel="0" collapsed="false">
      <c r="A26" s="5" t="s">
        <v>42</v>
      </c>
      <c r="B26" s="10" t="n">
        <v>0.6</v>
      </c>
      <c r="C26" s="7" t="s">
        <v>43</v>
      </c>
      <c r="D26" s="8" t="s">
        <v>37</v>
      </c>
    </row>
    <row r="27" customFormat="false" ht="15" hidden="false" customHeight="false" outlineLevel="0" collapsed="false">
      <c r="A27" s="5" t="s">
        <v>44</v>
      </c>
      <c r="B27" s="10" t="n">
        <v>0.75</v>
      </c>
      <c r="C27" s="7" t="s">
        <v>43</v>
      </c>
      <c r="D27" s="8" t="s">
        <v>37</v>
      </c>
    </row>
    <row r="28" customFormat="false" ht="15" hidden="false" customHeight="false" outlineLevel="0" collapsed="false">
      <c r="A28" s="5" t="s">
        <v>45</v>
      </c>
      <c r="B28" s="10" t="n">
        <v>0.78</v>
      </c>
      <c r="C28" s="7" t="s">
        <v>43</v>
      </c>
      <c r="D28" s="8" t="s">
        <v>37</v>
      </c>
    </row>
    <row r="29" customFormat="false" ht="15" hidden="false" customHeight="false" outlineLevel="0" collapsed="false">
      <c r="A29" s="5" t="s">
        <v>46</v>
      </c>
      <c r="B29" s="10" t="n">
        <v>0.8</v>
      </c>
      <c r="C29" s="7" t="s">
        <v>43</v>
      </c>
      <c r="D29" s="8" t="s">
        <v>37</v>
      </c>
    </row>
    <row r="31" customFormat="false" ht="15" hidden="false" customHeight="false" outlineLevel="0" collapsed="false">
      <c r="A31" s="3" t="s">
        <v>47</v>
      </c>
      <c r="B31" s="3"/>
      <c r="C31" s="3"/>
      <c r="D31" s="3"/>
    </row>
    <row r="32" customFormat="false" ht="15" hidden="false" customHeight="false" outlineLevel="0" collapsed="false">
      <c r="A32" s="4" t="s">
        <v>3</v>
      </c>
      <c r="B32" s="4" t="s">
        <v>4</v>
      </c>
      <c r="C32" s="4" t="s">
        <v>5</v>
      </c>
      <c r="D32" s="4" t="s">
        <v>6</v>
      </c>
    </row>
    <row r="33" customFormat="false" ht="15" hidden="false" customHeight="false" outlineLevel="0" collapsed="false">
      <c r="A33" s="5" t="s">
        <v>48</v>
      </c>
      <c r="B33" s="11" t="n">
        <v>4500</v>
      </c>
      <c r="C33" s="7" t="s">
        <v>49</v>
      </c>
      <c r="D33" s="8" t="s">
        <v>50</v>
      </c>
    </row>
    <row r="34" customFormat="false" ht="15" hidden="false" customHeight="false" outlineLevel="0" collapsed="false">
      <c r="A34" s="5" t="s">
        <v>51</v>
      </c>
      <c r="B34" s="11" t="n">
        <v>6500</v>
      </c>
      <c r="C34" s="7" t="s">
        <v>49</v>
      </c>
      <c r="D34" s="8" t="s">
        <v>52</v>
      </c>
    </row>
    <row r="35" customFormat="false" ht="15" hidden="false" customHeight="false" outlineLevel="0" collapsed="false">
      <c r="A35" s="5" t="s">
        <v>53</v>
      </c>
      <c r="B35" s="11" t="n">
        <v>7500</v>
      </c>
      <c r="C35" s="7" t="s">
        <v>49</v>
      </c>
      <c r="D35" s="8" t="s">
        <v>52</v>
      </c>
    </row>
    <row r="36" customFormat="false" ht="15" hidden="false" customHeight="false" outlineLevel="0" collapsed="false">
      <c r="A36" s="5" t="s">
        <v>54</v>
      </c>
      <c r="B36" s="10" t="n">
        <v>0.6</v>
      </c>
      <c r="C36" s="7" t="s">
        <v>43</v>
      </c>
      <c r="D36" s="8" t="s">
        <v>37</v>
      </c>
    </row>
    <row r="37" customFormat="false" ht="15" hidden="false" customHeight="false" outlineLevel="0" collapsed="false">
      <c r="A37" s="5" t="s">
        <v>55</v>
      </c>
      <c r="B37" s="10" t="n">
        <v>0.3</v>
      </c>
      <c r="C37" s="7" t="s">
        <v>43</v>
      </c>
      <c r="D37" s="8" t="s">
        <v>37</v>
      </c>
    </row>
    <row r="38" customFormat="false" ht="15" hidden="false" customHeight="false" outlineLevel="0" collapsed="false">
      <c r="A38" s="5" t="s">
        <v>56</v>
      </c>
      <c r="B38" s="10" t="n">
        <v>0.1</v>
      </c>
      <c r="C38" s="7" t="s">
        <v>43</v>
      </c>
      <c r="D38" s="8" t="s">
        <v>37</v>
      </c>
    </row>
    <row r="39" customFormat="false" ht="15" hidden="false" customHeight="false" outlineLevel="0" collapsed="false">
      <c r="A39" s="5" t="s">
        <v>57</v>
      </c>
      <c r="B39" s="12" t="n">
        <f aca="false">SUMPRODUCT(B33:B35,B36:B38)</f>
        <v>5400</v>
      </c>
      <c r="C39" s="7" t="s">
        <v>49</v>
      </c>
      <c r="D39" s="8" t="s">
        <v>58</v>
      </c>
    </row>
    <row r="40" customFormat="false" ht="15" hidden="false" customHeight="false" outlineLevel="0" collapsed="false">
      <c r="A40" s="5" t="s">
        <v>59</v>
      </c>
      <c r="B40" s="10" t="n">
        <v>0.05</v>
      </c>
      <c r="C40" s="7" t="s">
        <v>43</v>
      </c>
      <c r="D40" s="8" t="s">
        <v>37</v>
      </c>
    </row>
    <row r="41" customFormat="false" ht="15" hidden="false" customHeight="false" outlineLevel="0" collapsed="false">
      <c r="A41" s="5" t="s">
        <v>60</v>
      </c>
      <c r="B41" s="10" t="n">
        <v>0.08</v>
      </c>
      <c r="C41" s="7" t="s">
        <v>43</v>
      </c>
      <c r="D41" s="8" t="s">
        <v>37</v>
      </c>
    </row>
    <row r="42" customFormat="false" ht="15" hidden="false" customHeight="false" outlineLevel="0" collapsed="false">
      <c r="A42" s="5" t="s">
        <v>61</v>
      </c>
      <c r="B42" s="10" t="n">
        <v>0.1</v>
      </c>
      <c r="C42" s="7" t="s">
        <v>43</v>
      </c>
      <c r="D42" s="8" t="s">
        <v>37</v>
      </c>
    </row>
    <row r="43" customFormat="false" ht="15" hidden="false" customHeight="false" outlineLevel="0" collapsed="false">
      <c r="A43" s="5" t="s">
        <v>62</v>
      </c>
      <c r="B43" s="10" t="n">
        <v>0.12</v>
      </c>
      <c r="C43" s="7" t="s">
        <v>43</v>
      </c>
      <c r="D43" s="8" t="s">
        <v>37</v>
      </c>
    </row>
    <row r="44" customFormat="false" ht="15" hidden="false" customHeight="false" outlineLevel="0" collapsed="false">
      <c r="A44" s="5" t="s">
        <v>63</v>
      </c>
      <c r="B44" s="13" t="n">
        <v>1.8</v>
      </c>
      <c r="C44" s="7" t="s">
        <v>64</v>
      </c>
      <c r="D44" s="8" t="s">
        <v>65</v>
      </c>
    </row>
    <row r="46" customFormat="false" ht="15" hidden="false" customHeight="false" outlineLevel="0" collapsed="false">
      <c r="A46" s="3" t="s">
        <v>66</v>
      </c>
      <c r="B46" s="3"/>
      <c r="C46" s="3"/>
      <c r="D46" s="3"/>
    </row>
    <row r="47" customFormat="false" ht="15" hidden="false" customHeight="false" outlineLevel="0" collapsed="false">
      <c r="A47" s="4" t="s">
        <v>3</v>
      </c>
      <c r="B47" s="4" t="s">
        <v>4</v>
      </c>
      <c r="C47" s="4" t="s">
        <v>5</v>
      </c>
      <c r="D47" s="4" t="s">
        <v>6</v>
      </c>
    </row>
    <row r="48" customFormat="false" ht="15" hidden="false" customHeight="false" outlineLevel="0" collapsed="false">
      <c r="A48" s="5" t="s">
        <v>67</v>
      </c>
      <c r="B48" s="14" t="n">
        <v>0.15</v>
      </c>
      <c r="C48" s="7" t="s">
        <v>43</v>
      </c>
      <c r="D48" s="8" t="s">
        <v>68</v>
      </c>
    </row>
    <row r="49" customFormat="false" ht="15" hidden="false" customHeight="false" outlineLevel="0" collapsed="false">
      <c r="A49" s="5" t="s">
        <v>69</v>
      </c>
      <c r="B49" s="14" t="n">
        <v>0.12</v>
      </c>
      <c r="C49" s="7" t="s">
        <v>43</v>
      </c>
      <c r="D49" s="8" t="s">
        <v>68</v>
      </c>
    </row>
    <row r="50" customFormat="false" ht="15" hidden="false" customHeight="false" outlineLevel="0" collapsed="false">
      <c r="A50" s="5" t="s">
        <v>70</v>
      </c>
      <c r="B50" s="14" t="n">
        <v>0.1</v>
      </c>
      <c r="C50" s="7" t="s">
        <v>43</v>
      </c>
      <c r="D50" s="8" t="s">
        <v>68</v>
      </c>
    </row>
    <row r="51" customFormat="false" ht="15" hidden="false" customHeight="false" outlineLevel="0" collapsed="false">
      <c r="A51" s="5" t="s">
        <v>71</v>
      </c>
      <c r="B51" s="10" t="n">
        <v>0.14</v>
      </c>
      <c r="C51" s="7" t="s">
        <v>43</v>
      </c>
      <c r="D51" s="8" t="s">
        <v>72</v>
      </c>
    </row>
    <row r="52" customFormat="false" ht="15" hidden="false" customHeight="false" outlineLevel="0" collapsed="false">
      <c r="A52" s="5" t="s">
        <v>73</v>
      </c>
      <c r="B52" s="10" t="n">
        <v>0.125</v>
      </c>
      <c r="C52" s="7" t="s">
        <v>43</v>
      </c>
      <c r="D52" s="8" t="s">
        <v>74</v>
      </c>
    </row>
    <row r="53" customFormat="false" ht="15" hidden="false" customHeight="false" outlineLevel="0" collapsed="false">
      <c r="A53" s="5" t="s">
        <v>75</v>
      </c>
      <c r="B53" s="10" t="n">
        <v>0.115</v>
      </c>
      <c r="C53" s="7" t="s">
        <v>43</v>
      </c>
      <c r="D53" s="8" t="s">
        <v>76</v>
      </c>
    </row>
    <row r="54" customFormat="false" ht="15" hidden="false" customHeight="false" outlineLevel="0" collapsed="false">
      <c r="A54" s="5" t="s">
        <v>77</v>
      </c>
      <c r="B54" s="10" t="n">
        <v>0.7</v>
      </c>
      <c r="C54" s="7" t="s">
        <v>43</v>
      </c>
      <c r="D54" s="8" t="s">
        <v>78</v>
      </c>
    </row>
    <row r="55" customFormat="false" ht="15" hidden="false" customHeight="false" outlineLevel="0" collapsed="false">
      <c r="A55" s="5" t="s">
        <v>79</v>
      </c>
      <c r="B55" s="10" t="n">
        <v>0.8</v>
      </c>
      <c r="C55" s="7" t="s">
        <v>43</v>
      </c>
      <c r="D55" s="8" t="s">
        <v>37</v>
      </c>
    </row>
    <row r="56" customFormat="false" ht="15" hidden="false" customHeight="false" outlineLevel="0" collapsed="false">
      <c r="A56" s="5" t="s">
        <v>80</v>
      </c>
      <c r="B56" s="10" t="n">
        <v>0.85</v>
      </c>
      <c r="C56" s="7" t="s">
        <v>43</v>
      </c>
      <c r="D56" s="8" t="s">
        <v>37</v>
      </c>
    </row>
    <row r="57" customFormat="false" ht="15" hidden="false" customHeight="false" outlineLevel="0" collapsed="false">
      <c r="A57" s="5" t="s">
        <v>81</v>
      </c>
      <c r="B57" s="15" t="n">
        <v>200</v>
      </c>
      <c r="C57" s="7" t="s">
        <v>49</v>
      </c>
      <c r="D57" s="8" t="s">
        <v>82</v>
      </c>
    </row>
    <row r="58" customFormat="false" ht="15" hidden="false" customHeight="false" outlineLevel="0" collapsed="false">
      <c r="A58" s="5" t="s">
        <v>83</v>
      </c>
      <c r="B58" s="10" t="n">
        <v>0.018</v>
      </c>
      <c r="C58" s="7" t="s">
        <v>43</v>
      </c>
      <c r="D58" s="8" t="s">
        <v>84</v>
      </c>
    </row>
    <row r="59" customFormat="false" ht="15" hidden="false" customHeight="false" outlineLevel="0" collapsed="false">
      <c r="A59" s="5" t="s">
        <v>85</v>
      </c>
      <c r="B59" s="11" t="n">
        <v>500</v>
      </c>
      <c r="C59" s="7" t="s">
        <v>49</v>
      </c>
      <c r="D59" s="8" t="s">
        <v>86</v>
      </c>
    </row>
    <row r="61" customFormat="false" ht="15" hidden="false" customHeight="false" outlineLevel="0" collapsed="false">
      <c r="A61" s="3" t="s">
        <v>87</v>
      </c>
      <c r="B61" s="3"/>
      <c r="C61" s="3"/>
      <c r="D61" s="3"/>
    </row>
    <row r="62" customFormat="false" ht="15" hidden="false" customHeight="false" outlineLevel="0" collapsed="false">
      <c r="A62" s="4" t="s">
        <v>3</v>
      </c>
      <c r="B62" s="4" t="s">
        <v>4</v>
      </c>
      <c r="C62" s="4" t="s">
        <v>5</v>
      </c>
      <c r="D62" s="4" t="s">
        <v>6</v>
      </c>
    </row>
    <row r="63" customFormat="false" ht="15" hidden="false" customHeight="false" outlineLevel="0" collapsed="false">
      <c r="A63" s="5" t="s">
        <v>88</v>
      </c>
      <c r="B63" s="11" t="n">
        <v>40000</v>
      </c>
      <c r="C63" s="7" t="s">
        <v>89</v>
      </c>
      <c r="D63" s="8" t="s">
        <v>90</v>
      </c>
    </row>
    <row r="64" customFormat="false" ht="15" hidden="false" customHeight="false" outlineLevel="0" collapsed="false">
      <c r="A64" s="5" t="s">
        <v>91</v>
      </c>
      <c r="B64" s="10" t="n">
        <v>0.03</v>
      </c>
      <c r="C64" s="7" t="s">
        <v>22</v>
      </c>
      <c r="D64" s="8" t="s">
        <v>92</v>
      </c>
    </row>
    <row r="65" customFormat="false" ht="15" hidden="false" customHeight="false" outlineLevel="0" collapsed="false">
      <c r="A65" s="5" t="s">
        <v>93</v>
      </c>
      <c r="B65" s="11" t="n">
        <v>900000</v>
      </c>
      <c r="C65" s="7" t="s">
        <v>94</v>
      </c>
      <c r="D65" s="8" t="s">
        <v>37</v>
      </c>
    </row>
    <row r="66" customFormat="false" ht="15" hidden="false" customHeight="false" outlineLevel="0" collapsed="false">
      <c r="A66" s="5" t="s">
        <v>95</v>
      </c>
      <c r="B66" s="11" t="n">
        <v>1800000</v>
      </c>
      <c r="C66" s="7" t="s">
        <v>94</v>
      </c>
      <c r="D66" s="8" t="s">
        <v>37</v>
      </c>
    </row>
    <row r="67" customFormat="false" ht="15" hidden="false" customHeight="false" outlineLevel="0" collapsed="false">
      <c r="A67" s="5" t="s">
        <v>96</v>
      </c>
      <c r="B67" s="9" t="n">
        <v>0</v>
      </c>
      <c r="C67" s="7" t="s">
        <v>97</v>
      </c>
      <c r="D67" s="8" t="s">
        <v>98</v>
      </c>
    </row>
    <row r="68" customFormat="false" ht="15" hidden="false" customHeight="false" outlineLevel="0" collapsed="false">
      <c r="A68" s="5" t="s">
        <v>99</v>
      </c>
      <c r="B68" s="9" t="n">
        <v>1</v>
      </c>
      <c r="C68" s="7" t="s">
        <v>97</v>
      </c>
      <c r="D68" s="8" t="s">
        <v>100</v>
      </c>
    </row>
    <row r="69" customFormat="false" ht="15" hidden="false" customHeight="false" outlineLevel="0" collapsed="false">
      <c r="A69" s="5" t="s">
        <v>101</v>
      </c>
      <c r="B69" s="9" t="n">
        <v>3</v>
      </c>
      <c r="C69" s="7" t="s">
        <v>97</v>
      </c>
      <c r="D69" s="8" t="s">
        <v>102</v>
      </c>
    </row>
    <row r="70" customFormat="false" ht="15" hidden="false" customHeight="false" outlineLevel="0" collapsed="false">
      <c r="A70" s="5" t="s">
        <v>103</v>
      </c>
      <c r="B70" s="9" t="n">
        <v>6</v>
      </c>
      <c r="C70" s="7" t="s">
        <v>97</v>
      </c>
      <c r="D70" s="8" t="s">
        <v>37</v>
      </c>
    </row>
    <row r="71" customFormat="false" ht="15" hidden="false" customHeight="false" outlineLevel="0" collapsed="false">
      <c r="A71" s="5" t="s">
        <v>104</v>
      </c>
      <c r="B71" s="11" t="n">
        <v>250000</v>
      </c>
      <c r="C71" s="7" t="s">
        <v>49</v>
      </c>
      <c r="D71" s="8" t="s">
        <v>37</v>
      </c>
    </row>
    <row r="72" customFormat="false" ht="15" hidden="false" customHeight="false" outlineLevel="0" collapsed="false">
      <c r="A72" s="5" t="s">
        <v>105</v>
      </c>
      <c r="B72" s="11" t="n">
        <v>100000</v>
      </c>
      <c r="C72" s="7" t="s">
        <v>89</v>
      </c>
      <c r="D72" s="8" t="s">
        <v>37</v>
      </c>
    </row>
    <row r="73" customFormat="false" ht="15" hidden="false" customHeight="false" outlineLevel="0" collapsed="false">
      <c r="A73" s="5" t="s">
        <v>106</v>
      </c>
      <c r="B73" s="10" t="n">
        <v>0.05</v>
      </c>
      <c r="C73" s="7" t="s">
        <v>22</v>
      </c>
      <c r="D73" s="8" t="s">
        <v>37</v>
      </c>
    </row>
    <row r="74" customFormat="false" ht="15" hidden="false" customHeight="false" outlineLevel="0" collapsed="false">
      <c r="A74" s="5" t="s">
        <v>107</v>
      </c>
      <c r="B74" s="11" t="n">
        <v>3000000</v>
      </c>
      <c r="C74" s="7" t="s">
        <v>94</v>
      </c>
      <c r="D74" s="8" t="s">
        <v>108</v>
      </c>
    </row>
    <row r="75" customFormat="false" ht="15" hidden="false" customHeight="false" outlineLevel="0" collapsed="false">
      <c r="A75" s="5" t="s">
        <v>109</v>
      </c>
      <c r="B75" s="11" t="n">
        <v>6000000</v>
      </c>
      <c r="C75" s="7" t="s">
        <v>94</v>
      </c>
      <c r="D75" s="8" t="s">
        <v>37</v>
      </c>
    </row>
    <row r="76" customFormat="false" ht="15" hidden="false" customHeight="false" outlineLevel="0" collapsed="false">
      <c r="A76" s="5" t="s">
        <v>110</v>
      </c>
      <c r="B76" s="11" t="n">
        <v>60000</v>
      </c>
      <c r="C76" s="7" t="s">
        <v>89</v>
      </c>
      <c r="D76" s="8" t="s">
        <v>111</v>
      </c>
    </row>
    <row r="77" customFormat="false" ht="15" hidden="false" customHeight="false" outlineLevel="0" collapsed="false">
      <c r="A77" s="5" t="s">
        <v>112</v>
      </c>
      <c r="B77" s="11" t="n">
        <v>150000</v>
      </c>
      <c r="C77" s="7" t="s">
        <v>89</v>
      </c>
      <c r="D77" s="8" t="s">
        <v>37</v>
      </c>
    </row>
    <row r="78" customFormat="false" ht="15" hidden="false" customHeight="false" outlineLevel="0" collapsed="false">
      <c r="A78" s="5" t="s">
        <v>113</v>
      </c>
      <c r="B78" s="11" t="n">
        <v>300000</v>
      </c>
      <c r="C78" s="7" t="s">
        <v>89</v>
      </c>
      <c r="D78" s="8" t="s">
        <v>37</v>
      </c>
    </row>
  </sheetData>
  <mergeCells count="8">
    <mergeCell ref="A1:D1"/>
    <mergeCell ref="A2:D2"/>
    <mergeCell ref="A4:D4"/>
    <mergeCell ref="A11:D11"/>
    <mergeCell ref="A19:D19"/>
    <mergeCell ref="A31:D31"/>
    <mergeCell ref="A46:D46"/>
    <mergeCell ref="A61:D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2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3.85" hidden="false" customHeight="false" outlineLevel="0" collapsed="false">
      <c r="A3" s="16" t="s">
        <v>115</v>
      </c>
      <c r="B3" s="17" t="s">
        <v>116</v>
      </c>
      <c r="C3" s="17" t="s">
        <v>117</v>
      </c>
      <c r="D3" s="17" t="s">
        <v>118</v>
      </c>
      <c r="E3" s="17" t="s">
        <v>119</v>
      </c>
      <c r="F3" s="17" t="s">
        <v>120</v>
      </c>
      <c r="G3" s="17" t="s">
        <v>121</v>
      </c>
      <c r="H3" s="17" t="s">
        <v>122</v>
      </c>
      <c r="I3" s="17" t="s">
        <v>123</v>
      </c>
      <c r="J3" s="17" t="s">
        <v>124</v>
      </c>
      <c r="K3" s="17" t="s">
        <v>125</v>
      </c>
      <c r="L3" s="17" t="s">
        <v>126</v>
      </c>
      <c r="M3" s="17" t="s">
        <v>127</v>
      </c>
      <c r="N3" s="18" t="s">
        <v>128</v>
      </c>
    </row>
    <row r="4" customFormat="false" ht="15" hidden="false" customHeight="false" outlineLevel="0" collapsed="false">
      <c r="A4" s="5" t="s">
        <v>129</v>
      </c>
      <c r="B4" s="19" t="n">
        <f aca="false">Hypothèses!$B$13</f>
        <v>15</v>
      </c>
      <c r="C4" s="19" t="n">
        <f aca="false">B4*(1+Hypothèses!$B$14)</f>
        <v>17.25</v>
      </c>
      <c r="D4" s="19" t="n">
        <f aca="false">C4*(1+Hypothèses!$B$14)</f>
        <v>19.8375</v>
      </c>
      <c r="E4" s="19" t="n">
        <f aca="false">D4*(1+Hypothèses!$B$14)</f>
        <v>22.813125</v>
      </c>
      <c r="F4" s="19" t="n">
        <f aca="false">E4*(1+Hypothèses!$B$14)</f>
        <v>26.23509375</v>
      </c>
      <c r="G4" s="19" t="n">
        <f aca="false">F4*(1+Hypothèses!$B$14)</f>
        <v>30.1703578125</v>
      </c>
      <c r="H4" s="19" t="n">
        <f aca="false">G4*(1+Hypothèses!$B$15)</f>
        <v>32.5839864375</v>
      </c>
      <c r="I4" s="19" t="n">
        <f aca="false">H4*(1+Hypothèses!$B$15)</f>
        <v>35.1907053525</v>
      </c>
      <c r="J4" s="19" t="n">
        <f aca="false">I4*(1+Hypothèses!$B$15)</f>
        <v>38.0059617807</v>
      </c>
      <c r="K4" s="19" t="n">
        <f aca="false">J4*(1+Hypothèses!$B$15)</f>
        <v>41.046438723156</v>
      </c>
      <c r="L4" s="19" t="n">
        <f aca="false">K4*(1+Hypothèses!$B$15)</f>
        <v>44.3301538210085</v>
      </c>
      <c r="M4" s="19" t="n">
        <f aca="false">L4*(1+Hypothèses!$B$15)</f>
        <v>47.8765661266892</v>
      </c>
      <c r="N4" s="19" t="n">
        <f aca="false">M4</f>
        <v>47.8765661266892</v>
      </c>
    </row>
    <row r="5" customFormat="false" ht="15" hidden="false" customHeight="false" outlineLevel="0" collapsed="false">
      <c r="A5" s="5" t="s">
        <v>130</v>
      </c>
      <c r="B5" s="19" t="n">
        <f aca="false">B4</f>
        <v>15</v>
      </c>
      <c r="C5" s="19" t="n">
        <f aca="false">C4-B4</f>
        <v>2.25</v>
      </c>
      <c r="D5" s="19" t="n">
        <f aca="false">D4-C4</f>
        <v>2.5875</v>
      </c>
      <c r="E5" s="19" t="n">
        <f aca="false">E4-D4</f>
        <v>2.975625</v>
      </c>
      <c r="F5" s="19" t="n">
        <f aca="false">F4-E4</f>
        <v>3.42196875</v>
      </c>
      <c r="G5" s="19" t="n">
        <f aca="false">G4-F4</f>
        <v>3.9352640625</v>
      </c>
      <c r="H5" s="19" t="n">
        <f aca="false">H4-G4</f>
        <v>2.413628625</v>
      </c>
      <c r="I5" s="19" t="n">
        <f aca="false">I4-H4</f>
        <v>2.606718915</v>
      </c>
      <c r="J5" s="19" t="n">
        <f aca="false">J4-I4</f>
        <v>2.8152564282</v>
      </c>
      <c r="K5" s="19" t="n">
        <f aca="false">K4-J4</f>
        <v>3.040476942456</v>
      </c>
      <c r="L5" s="19" t="n">
        <f aca="false">L4-K4</f>
        <v>3.28371509785249</v>
      </c>
      <c r="M5" s="19" t="n">
        <f aca="false">M4-L4</f>
        <v>3.54641230568068</v>
      </c>
      <c r="N5" s="19" t="n">
        <f aca="false">SUM(B5:M5)</f>
        <v>47.8765661266892</v>
      </c>
    </row>
    <row r="6" customFormat="false" ht="15" hidden="false" customHeight="false" outlineLevel="0" collapsed="false">
      <c r="A6" s="5" t="s">
        <v>131</v>
      </c>
      <c r="B6" s="20" t="n">
        <f aca="false">Hypothèses!$B$21+(Hypothèses!$B$22-Hypothèses!$B$21)*(COLUMN()-COLUMN($B$6))/11</f>
        <v>8</v>
      </c>
      <c r="C6" s="20" t="n">
        <f aca="false">Hypothèses!$B$21+(Hypothèses!$B$22-Hypothèses!$B$21)*(COLUMN()-COLUMN($B$6))/11</f>
        <v>8.90909090909091</v>
      </c>
      <c r="D6" s="20" t="n">
        <f aca="false">Hypothèses!$B$21+(Hypothèses!$B$22-Hypothèses!$B$21)*(COLUMN()-COLUMN($B$6))/11</f>
        <v>9.81818181818182</v>
      </c>
      <c r="E6" s="20" t="n">
        <f aca="false">Hypothèses!$B$21+(Hypothèses!$B$22-Hypothèses!$B$21)*(COLUMN()-COLUMN($B$6))/11</f>
        <v>10.7272727272727</v>
      </c>
      <c r="F6" s="20" t="n">
        <f aca="false">Hypothèses!$B$21+(Hypothèses!$B$22-Hypothèses!$B$21)*(COLUMN()-COLUMN($B$6))/11</f>
        <v>11.6363636363636</v>
      </c>
      <c r="G6" s="20" t="n">
        <f aca="false">Hypothèses!$B$21+(Hypothèses!$B$22-Hypothèses!$B$21)*(COLUMN()-COLUMN($B$6))/11</f>
        <v>12.5454545454545</v>
      </c>
      <c r="H6" s="20" t="n">
        <f aca="false">Hypothèses!$B$21+(Hypothèses!$B$22-Hypothèses!$B$21)*(COLUMN()-COLUMN($B$6))/11</f>
        <v>13.4545454545455</v>
      </c>
      <c r="I6" s="20" t="n">
        <f aca="false">Hypothèses!$B$21+(Hypothèses!$B$22-Hypothèses!$B$21)*(COLUMN()-COLUMN($B$6))/11</f>
        <v>14.3636363636364</v>
      </c>
      <c r="J6" s="20" t="n">
        <f aca="false">Hypothèses!$B$21+(Hypothèses!$B$22-Hypothèses!$B$21)*(COLUMN()-COLUMN($B$6))/11</f>
        <v>15.2727272727273</v>
      </c>
      <c r="K6" s="20" t="n">
        <f aca="false">Hypothèses!$B$21+(Hypothèses!$B$22-Hypothèses!$B$21)*(COLUMN()-COLUMN($B$6))/11</f>
        <v>16.1818181818182</v>
      </c>
      <c r="L6" s="20" t="n">
        <f aca="false">Hypothèses!$B$21+(Hypothèses!$B$22-Hypothèses!$B$21)*(COLUMN()-COLUMN($B$6))/11</f>
        <v>17.0909090909091</v>
      </c>
      <c r="M6" s="20" t="n">
        <f aca="false">Hypothèses!$B$21+(Hypothèses!$B$22-Hypothèses!$B$21)*(COLUMN()-COLUMN($B$6))/11</f>
        <v>18</v>
      </c>
      <c r="N6" s="20" t="n">
        <f aca="false">M6</f>
        <v>18</v>
      </c>
    </row>
    <row r="7" customFormat="false" ht="15" hidden="false" customHeight="false" outlineLevel="0" collapsed="false">
      <c r="A7" s="5" t="s">
        <v>132</v>
      </c>
      <c r="B7" s="19" t="n">
        <f aca="false">B4*B6</f>
        <v>120</v>
      </c>
      <c r="C7" s="19" t="n">
        <f aca="false">C4*C6</f>
        <v>153.681818181818</v>
      </c>
      <c r="D7" s="19" t="n">
        <f aca="false">D4*D6</f>
        <v>194.768181818182</v>
      </c>
      <c r="E7" s="19" t="n">
        <f aca="false">E4*E6</f>
        <v>244.722613636364</v>
      </c>
      <c r="F7" s="19" t="n">
        <f aca="false">F4*F6</f>
        <v>305.281090909091</v>
      </c>
      <c r="G7" s="19" t="n">
        <f aca="false">G4*G6</f>
        <v>378.500852556818</v>
      </c>
      <c r="H7" s="19" t="n">
        <f aca="false">H4*H6</f>
        <v>438.402726613636</v>
      </c>
      <c r="I7" s="19" t="n">
        <f aca="false">I4*I6</f>
        <v>505.466495063182</v>
      </c>
      <c r="J7" s="19" t="n">
        <f aca="false">J4*J6</f>
        <v>580.454689014327</v>
      </c>
      <c r="K7" s="19" t="n">
        <f aca="false">K4*K6</f>
        <v>664.206008429252</v>
      </c>
      <c r="L7" s="19" t="n">
        <f aca="false">L4*L6</f>
        <v>757.642628940872</v>
      </c>
      <c r="M7" s="19" t="n">
        <f aca="false">M4*M6</f>
        <v>861.778190280405</v>
      </c>
      <c r="N7" s="19" t="n">
        <f aca="false">SUM(B7:M7)</f>
        <v>5204.90529544395</v>
      </c>
    </row>
    <row r="8" customFormat="false" ht="15" hidden="false" customHeight="false" outlineLevel="0" collapsed="false">
      <c r="A8" s="5" t="s">
        <v>133</v>
      </c>
      <c r="B8" s="21" t="n">
        <f aca="false">Hypothèses!$B$26+(Hypothèses!$B$27-Hypothèses!$B$26)*(COLUMN()-COLUMN($B$8))/11</f>
        <v>0.6</v>
      </c>
      <c r="C8" s="21" t="n">
        <f aca="false">Hypothèses!$B$26+(Hypothèses!$B$27-Hypothèses!$B$26)*(COLUMN()-COLUMN($B$8))/11</f>
        <v>0.613636363636364</v>
      </c>
      <c r="D8" s="21" t="n">
        <f aca="false">Hypothèses!$B$26+(Hypothèses!$B$27-Hypothèses!$B$26)*(COLUMN()-COLUMN($B$8))/11</f>
        <v>0.627272727272727</v>
      </c>
      <c r="E8" s="21" t="n">
        <f aca="false">Hypothèses!$B$26+(Hypothèses!$B$27-Hypothèses!$B$26)*(COLUMN()-COLUMN($B$8))/11</f>
        <v>0.640909090909091</v>
      </c>
      <c r="F8" s="21" t="n">
        <f aca="false">Hypothèses!$B$26+(Hypothèses!$B$27-Hypothèses!$B$26)*(COLUMN()-COLUMN($B$8))/11</f>
        <v>0.654545454545455</v>
      </c>
      <c r="G8" s="21" t="n">
        <f aca="false">Hypothèses!$B$26+(Hypothèses!$B$27-Hypothèses!$B$26)*(COLUMN()-COLUMN($B$8))/11</f>
        <v>0.668181818181818</v>
      </c>
      <c r="H8" s="21" t="n">
        <f aca="false">Hypothèses!$B$26+(Hypothèses!$B$27-Hypothèses!$B$26)*(COLUMN()-COLUMN($B$8))/11</f>
        <v>0.681818181818182</v>
      </c>
      <c r="I8" s="21" t="n">
        <f aca="false">Hypothèses!$B$26+(Hypothèses!$B$27-Hypothèses!$B$26)*(COLUMN()-COLUMN($B$8))/11</f>
        <v>0.695454545454545</v>
      </c>
      <c r="J8" s="21" t="n">
        <f aca="false">Hypothèses!$B$26+(Hypothèses!$B$27-Hypothèses!$B$26)*(COLUMN()-COLUMN($B$8))/11</f>
        <v>0.709090909090909</v>
      </c>
      <c r="K8" s="21" t="n">
        <f aca="false">Hypothèses!$B$26+(Hypothèses!$B$27-Hypothèses!$B$26)*(COLUMN()-COLUMN($B$8))/11</f>
        <v>0.722727272727273</v>
      </c>
      <c r="L8" s="21" t="n">
        <f aca="false">Hypothèses!$B$26+(Hypothèses!$B$27-Hypothèses!$B$26)*(COLUMN()-COLUMN($B$8))/11</f>
        <v>0.736363636363636</v>
      </c>
      <c r="M8" s="21" t="n">
        <f aca="false">Hypothèses!$B$26+(Hypothèses!$B$27-Hypothèses!$B$26)*(COLUMN()-COLUMN($B$8))/11</f>
        <v>0.75</v>
      </c>
      <c r="N8" s="21" t="n">
        <f aca="false">M8</f>
        <v>0.75</v>
      </c>
    </row>
    <row r="9" customFormat="false" ht="15" hidden="false" customHeight="false" outlineLevel="0" collapsed="false">
      <c r="A9" s="5" t="s">
        <v>134</v>
      </c>
      <c r="B9" s="22" t="n">
        <f aca="false">Hypothèses!$B$25*B8</f>
        <v>2.4</v>
      </c>
      <c r="C9" s="22" t="n">
        <f aca="false">Hypothèses!$B$25*C8</f>
        <v>2.45454545454545</v>
      </c>
      <c r="D9" s="22" t="n">
        <f aca="false">Hypothèses!$B$25*D8</f>
        <v>2.50909090909091</v>
      </c>
      <c r="E9" s="22" t="n">
        <f aca="false">Hypothèses!$B$25*E8</f>
        <v>2.56363636363636</v>
      </c>
      <c r="F9" s="22" t="n">
        <f aca="false">Hypothèses!$B$25*F8</f>
        <v>2.61818181818182</v>
      </c>
      <c r="G9" s="22" t="n">
        <f aca="false">Hypothèses!$B$25*G8</f>
        <v>2.67272727272727</v>
      </c>
      <c r="H9" s="22" t="n">
        <f aca="false">Hypothèses!$B$25*H8</f>
        <v>2.72727272727273</v>
      </c>
      <c r="I9" s="22" t="n">
        <f aca="false">Hypothèses!$B$25*I8</f>
        <v>2.78181818181818</v>
      </c>
      <c r="J9" s="22" t="n">
        <f aca="false">Hypothèses!$B$25*J8</f>
        <v>2.83636363636364</v>
      </c>
      <c r="K9" s="22" t="n">
        <f aca="false">Hypothèses!$B$25*K8</f>
        <v>2.89090909090909</v>
      </c>
      <c r="L9" s="22" t="n">
        <f aca="false">Hypothèses!$B$25*L8</f>
        <v>2.94545454545455</v>
      </c>
      <c r="M9" s="22" t="n">
        <f aca="false">Hypothèses!$B$25*M8</f>
        <v>3</v>
      </c>
      <c r="N9" s="22" t="n">
        <f aca="false">M9</f>
        <v>3</v>
      </c>
    </row>
    <row r="10" customFormat="false" ht="15" hidden="false" customHeight="false" outlineLevel="0" collapsed="false">
      <c r="A10" s="16" t="s">
        <v>135</v>
      </c>
      <c r="B10" s="23" t="n">
        <f aca="false">B7*B9</f>
        <v>288</v>
      </c>
      <c r="C10" s="23" t="n">
        <f aca="false">C7*C9</f>
        <v>377.219008264463</v>
      </c>
      <c r="D10" s="23" t="n">
        <f aca="false">D7*D9</f>
        <v>488.691074380165</v>
      </c>
      <c r="E10" s="23" t="n">
        <f aca="false">E7*E9</f>
        <v>627.379791322314</v>
      </c>
      <c r="F10" s="23" t="n">
        <f aca="false">F7*F9</f>
        <v>799.281401652892</v>
      </c>
      <c r="G10" s="23" t="n">
        <f aca="false">G7*G9</f>
        <v>1011.62955137913</v>
      </c>
      <c r="H10" s="23" t="n">
        <f aca="false">H7*H9</f>
        <v>1195.64379985537</v>
      </c>
      <c r="I10" s="23" t="n">
        <f aca="false">I7*I9</f>
        <v>1406.11588626667</v>
      </c>
      <c r="J10" s="23" t="n">
        <f aca="false">J7*J9</f>
        <v>1646.380572477</v>
      </c>
      <c r="K10" s="23" t="n">
        <f aca="false">K7*K9</f>
        <v>1920.15918800456</v>
      </c>
      <c r="L10" s="23" t="n">
        <f aca="false">L7*L9</f>
        <v>2231.60192524402</v>
      </c>
      <c r="M10" s="23" t="n">
        <f aca="false">M7*M9</f>
        <v>2585.33457084122</v>
      </c>
      <c r="N10" s="23" t="n">
        <f aca="false">SUM(B10:M10)</f>
        <v>14577.4367696878</v>
      </c>
    </row>
    <row r="11" customFormat="false" ht="15" hidden="false" customHeight="false" outlineLevel="0" collapsed="false">
      <c r="A11" s="5" t="s">
        <v>136</v>
      </c>
      <c r="B11" s="21" t="n">
        <f aca="false">Hypothèses!$B$40+(Hypothèses!$B$41-Hypothèses!$B$40)*(COLUMN()-COLUMN($B$11))/11</f>
        <v>0.05</v>
      </c>
      <c r="C11" s="21" t="n">
        <f aca="false">Hypothèses!$B$40+(Hypothèses!$B$41-Hypothèses!$B$40)*(COLUMN()-COLUMN($B$11))/11</f>
        <v>0.0527272727272727</v>
      </c>
      <c r="D11" s="21" t="n">
        <f aca="false">Hypothèses!$B$40+(Hypothèses!$B$41-Hypothèses!$B$40)*(COLUMN()-COLUMN($B$11))/11</f>
        <v>0.0554545454545455</v>
      </c>
      <c r="E11" s="21" t="n">
        <f aca="false">Hypothèses!$B$40+(Hypothèses!$B$41-Hypothèses!$B$40)*(COLUMN()-COLUMN($B$11))/11</f>
        <v>0.0581818181818182</v>
      </c>
      <c r="F11" s="21" t="n">
        <f aca="false">Hypothèses!$B$40+(Hypothèses!$B$41-Hypothèses!$B$40)*(COLUMN()-COLUMN($B$11))/11</f>
        <v>0.0609090909090909</v>
      </c>
      <c r="G11" s="21" t="n">
        <f aca="false">Hypothèses!$B$40+(Hypothèses!$B$41-Hypothèses!$B$40)*(COLUMN()-COLUMN($B$11))/11</f>
        <v>0.0636363636363636</v>
      </c>
      <c r="H11" s="21" t="n">
        <f aca="false">Hypothèses!$B$40+(Hypothèses!$B$41-Hypothèses!$B$40)*(COLUMN()-COLUMN($B$11))/11</f>
        <v>0.0663636363636364</v>
      </c>
      <c r="I11" s="21" t="n">
        <f aca="false">Hypothèses!$B$40+(Hypothèses!$B$41-Hypothèses!$B$40)*(COLUMN()-COLUMN($B$11))/11</f>
        <v>0.0690909090909091</v>
      </c>
      <c r="J11" s="21" t="n">
        <f aca="false">Hypothèses!$B$40+(Hypothèses!$B$41-Hypothèses!$B$40)*(COLUMN()-COLUMN($B$11))/11</f>
        <v>0.0718181818181818</v>
      </c>
      <c r="K11" s="21" t="n">
        <f aca="false">Hypothèses!$B$40+(Hypothèses!$B$41-Hypothèses!$B$40)*(COLUMN()-COLUMN($B$11))/11</f>
        <v>0.0745454545454546</v>
      </c>
      <c r="L11" s="21" t="n">
        <f aca="false">Hypothèses!$B$40+(Hypothèses!$B$41-Hypothèses!$B$40)*(COLUMN()-COLUMN($B$11))/11</f>
        <v>0.0772727272727273</v>
      </c>
      <c r="M11" s="21" t="n">
        <f aca="false">Hypothèses!$B$40+(Hypothèses!$B$41-Hypothèses!$B$40)*(COLUMN()-COLUMN($B$11))/11</f>
        <v>0.08</v>
      </c>
      <c r="N11" s="21" t="n">
        <f aca="false">M11</f>
        <v>0.08</v>
      </c>
    </row>
    <row r="12" customFormat="false" ht="15" hidden="false" customHeight="false" outlineLevel="0" collapsed="false">
      <c r="A12" s="5" t="s">
        <v>137</v>
      </c>
      <c r="B12" s="19" t="n">
        <f aca="false">B10*(1-B11)</f>
        <v>273.6</v>
      </c>
      <c r="C12" s="19" t="n">
        <f aca="false">C10*(1-C11)</f>
        <v>357.329278737791</v>
      </c>
      <c r="D12" s="19" t="n">
        <f aca="false">D10*(1-D11)</f>
        <v>461.59093298272</v>
      </c>
      <c r="E12" s="19" t="n">
        <f aca="false">E10*(1-E11)</f>
        <v>590.877694372652</v>
      </c>
      <c r="F12" s="19" t="n">
        <f aca="false">F10*(1-F11)</f>
        <v>750.597898097671</v>
      </c>
      <c r="G12" s="19" t="n">
        <f aca="false">G10*(1-G11)</f>
        <v>947.253125382278</v>
      </c>
      <c r="H12" s="19" t="n">
        <f aca="false">H10*(1-H11)</f>
        <v>1116.29652950133</v>
      </c>
      <c r="I12" s="19" t="n">
        <f aca="false">I10*(1-I11)</f>
        <v>1308.96606139734</v>
      </c>
      <c r="J12" s="19" t="n">
        <f aca="false">J10*(1-J11)</f>
        <v>1528.14051318093</v>
      </c>
      <c r="K12" s="19" t="n">
        <f aca="false">K10*(1-K11)</f>
        <v>1777.02004853513</v>
      </c>
      <c r="L12" s="19" t="n">
        <f aca="false">L10*(1-L11)</f>
        <v>2059.15995829335</v>
      </c>
      <c r="M12" s="19" t="n">
        <f aca="false">M10*(1-M11)</f>
        <v>2378.50780517392</v>
      </c>
      <c r="N12" s="19" t="n">
        <f aca="false">SUM(B12:M12)</f>
        <v>13549.3398456551</v>
      </c>
    </row>
    <row r="13" customFormat="false" ht="15" hidden="false" customHeight="false" outlineLevel="0" collapsed="false">
      <c r="A13" s="5" t="s">
        <v>138</v>
      </c>
      <c r="B13" s="19" t="n">
        <f aca="false">B10*B11</f>
        <v>14.4</v>
      </c>
      <c r="C13" s="19" t="n">
        <f aca="false">C10*C11</f>
        <v>19.8897295266717</v>
      </c>
      <c r="D13" s="19" t="n">
        <f aca="false">D10*D11</f>
        <v>27.1001413974455</v>
      </c>
      <c r="E13" s="19" t="n">
        <f aca="false">E10*E11</f>
        <v>36.5020969496619</v>
      </c>
      <c r="F13" s="19" t="n">
        <f aca="false">F10*F11</f>
        <v>48.6835035552216</v>
      </c>
      <c r="G13" s="19" t="n">
        <f aca="false">G10*G11</f>
        <v>64.3764259968539</v>
      </c>
      <c r="H13" s="19" t="n">
        <f aca="false">H10*H11</f>
        <v>79.3472703540383</v>
      </c>
      <c r="I13" s="19" t="n">
        <f aca="false">I10*I11</f>
        <v>97.1498248693335</v>
      </c>
      <c r="J13" s="19" t="n">
        <f aca="false">J10*J11</f>
        <v>118.240059296076</v>
      </c>
      <c r="K13" s="19" t="n">
        <f aca="false">K10*K11</f>
        <v>143.139139469431</v>
      </c>
      <c r="L13" s="19" t="n">
        <f aca="false">L10*L11</f>
        <v>172.441966950675</v>
      </c>
      <c r="M13" s="19" t="n">
        <f aca="false">M10*M11</f>
        <v>206.826765667297</v>
      </c>
      <c r="N13" s="19" t="n">
        <f aca="false">SUM(B13:M13)</f>
        <v>1028.09692403271</v>
      </c>
    </row>
    <row r="14" customFormat="false" ht="15" hidden="false" customHeight="false" outlineLevel="0" collapsed="false">
      <c r="A14" s="5" t="s">
        <v>139</v>
      </c>
      <c r="B14" s="24" t="n">
        <f aca="false">Hypothèses!$B$39</f>
        <v>5400</v>
      </c>
      <c r="C14" s="24" t="n">
        <f aca="false">Hypothèses!$B$39</f>
        <v>5400</v>
      </c>
      <c r="D14" s="24" t="n">
        <f aca="false">Hypothèses!$B$39</f>
        <v>5400</v>
      </c>
      <c r="E14" s="24" t="n">
        <f aca="false">Hypothèses!$B$39</f>
        <v>5400</v>
      </c>
      <c r="F14" s="24" t="n">
        <f aca="false">Hypothèses!$B$39</f>
        <v>5400</v>
      </c>
      <c r="G14" s="24" t="n">
        <f aca="false">Hypothèses!$B$39</f>
        <v>5400</v>
      </c>
      <c r="H14" s="24" t="n">
        <f aca="false">Hypothèses!$B$39</f>
        <v>5400</v>
      </c>
      <c r="I14" s="24" t="n">
        <f aca="false">Hypothèses!$B$39</f>
        <v>5400</v>
      </c>
      <c r="J14" s="24" t="n">
        <f aca="false">Hypothèses!$B$39</f>
        <v>5400</v>
      </c>
      <c r="K14" s="24" t="n">
        <f aca="false">Hypothèses!$B$39</f>
        <v>5400</v>
      </c>
      <c r="L14" s="24" t="n">
        <f aca="false">Hypothèses!$B$39</f>
        <v>5400</v>
      </c>
      <c r="M14" s="24" t="n">
        <f aca="false">Hypothèses!$B$39</f>
        <v>5400</v>
      </c>
      <c r="N14" s="24" t="n">
        <f aca="false">M14</f>
        <v>5400</v>
      </c>
    </row>
    <row r="15" customFormat="false" ht="15" hidden="false" customHeight="false" outlineLevel="0" collapsed="false">
      <c r="A15" s="5" t="s">
        <v>140</v>
      </c>
      <c r="B15" s="24" t="n">
        <f aca="false">B14*Hypothèses!$B$44</f>
        <v>9720</v>
      </c>
      <c r="C15" s="24" t="n">
        <f aca="false">C14*Hypothèses!$B$44</f>
        <v>9720</v>
      </c>
      <c r="D15" s="24" t="n">
        <f aca="false">D14*Hypothèses!$B$44</f>
        <v>9720</v>
      </c>
      <c r="E15" s="24" t="n">
        <f aca="false">E14*Hypothèses!$B$44</f>
        <v>9720</v>
      </c>
      <c r="F15" s="24" t="n">
        <f aca="false">F14*Hypothèses!$B$44</f>
        <v>9720</v>
      </c>
      <c r="G15" s="24" t="n">
        <f aca="false">G14*Hypothèses!$B$44</f>
        <v>9720</v>
      </c>
      <c r="H15" s="24" t="n">
        <f aca="false">H14*Hypothèses!$B$44</f>
        <v>9720</v>
      </c>
      <c r="I15" s="24" t="n">
        <f aca="false">I14*Hypothèses!$B$44</f>
        <v>9720</v>
      </c>
      <c r="J15" s="24" t="n">
        <f aca="false">J14*Hypothèses!$B$44</f>
        <v>9720</v>
      </c>
      <c r="K15" s="24" t="n">
        <f aca="false">K14*Hypothèses!$B$44</f>
        <v>9720</v>
      </c>
      <c r="L15" s="24" t="n">
        <f aca="false">L14*Hypothèses!$B$44</f>
        <v>9720</v>
      </c>
      <c r="M15" s="24" t="n">
        <f aca="false">M14*Hypothèses!$B$44</f>
        <v>9720</v>
      </c>
      <c r="N15" s="24" t="n">
        <f aca="false">M15</f>
        <v>9720</v>
      </c>
    </row>
    <row r="16" customFormat="false" ht="15" hidden="false" customHeight="false" outlineLevel="0" collapsed="false">
      <c r="A16" s="5" t="s">
        <v>141</v>
      </c>
      <c r="B16" s="24" t="n">
        <f aca="false">B12*B14</f>
        <v>1477440</v>
      </c>
      <c r="C16" s="24" t="n">
        <f aca="false">C12*C14</f>
        <v>1929578.10518407</v>
      </c>
      <c r="D16" s="24" t="n">
        <f aca="false">D12*D14</f>
        <v>2492591.03810669</v>
      </c>
      <c r="E16" s="24" t="n">
        <f aca="false">E12*E14</f>
        <v>3190739.54961232</v>
      </c>
      <c r="F16" s="24" t="n">
        <f aca="false">F12*F14</f>
        <v>4053228.64972742</v>
      </c>
      <c r="G16" s="24" t="n">
        <f aca="false">G12*G14</f>
        <v>5115166.8770643</v>
      </c>
      <c r="H16" s="24" t="n">
        <f aca="false">H12*H14</f>
        <v>6028001.2593072</v>
      </c>
      <c r="I16" s="24" t="n">
        <f aca="false">I12*I14</f>
        <v>7068416.73154561</v>
      </c>
      <c r="J16" s="24" t="n">
        <f aca="false">J12*J14</f>
        <v>8251958.771177</v>
      </c>
      <c r="K16" s="24" t="n">
        <f aca="false">K12*K14</f>
        <v>9595908.26208971</v>
      </c>
      <c r="L16" s="24" t="n">
        <f aca="false">L12*L14</f>
        <v>11119463.7747841</v>
      </c>
      <c r="M16" s="24" t="n">
        <f aca="false">M12*M14</f>
        <v>12843942.1479392</v>
      </c>
      <c r="N16" s="24" t="n">
        <f aca="false">SUM(B16:M16)</f>
        <v>73166435.1665376</v>
      </c>
    </row>
    <row r="17" customFormat="false" ht="15" hidden="false" customHeight="false" outlineLevel="0" collapsed="false">
      <c r="A17" s="5" t="s">
        <v>142</v>
      </c>
      <c r="B17" s="24" t="n">
        <f aca="false">B13*B15</f>
        <v>139968</v>
      </c>
      <c r="C17" s="24" t="n">
        <f aca="false">C13*C15</f>
        <v>193328.170999249</v>
      </c>
      <c r="D17" s="24" t="n">
        <f aca="false">D13*D15</f>
        <v>263413.374383171</v>
      </c>
      <c r="E17" s="24" t="n">
        <f aca="false">E13*E15</f>
        <v>354800.382350714</v>
      </c>
      <c r="F17" s="24" t="n">
        <f aca="false">F13*F15</f>
        <v>473203.654556754</v>
      </c>
      <c r="G17" s="24" t="n">
        <f aca="false">G13*G15</f>
        <v>625738.860689419</v>
      </c>
      <c r="H17" s="24" t="n">
        <f aca="false">H13*H15</f>
        <v>771255.467841252</v>
      </c>
      <c r="I17" s="24" t="n">
        <f aca="false">I13*I15</f>
        <v>944296.297729922</v>
      </c>
      <c r="J17" s="24" t="n">
        <f aca="false">J13*J15</f>
        <v>1149293.37635785</v>
      </c>
      <c r="K17" s="24" t="n">
        <f aca="false">K13*K15</f>
        <v>1391312.43564287</v>
      </c>
      <c r="L17" s="24" t="n">
        <f aca="false">L13*L15</f>
        <v>1676135.91876056</v>
      </c>
      <c r="M17" s="24" t="n">
        <f aca="false">M13*M15</f>
        <v>2010356.16228613</v>
      </c>
      <c r="N17" s="24" t="n">
        <f aca="false">SUM(B17:M17)</f>
        <v>9993102.10159789</v>
      </c>
    </row>
    <row r="18" customFormat="false" ht="15" hidden="false" customHeight="false" outlineLevel="0" collapsed="false">
      <c r="A18" s="16" t="s">
        <v>143</v>
      </c>
      <c r="B18" s="25" t="n">
        <f aca="false">B16+B17</f>
        <v>1617408</v>
      </c>
      <c r="C18" s="25" t="n">
        <f aca="false">C16+C17</f>
        <v>2122906.27618332</v>
      </c>
      <c r="D18" s="25" t="n">
        <f aca="false">D16+D17</f>
        <v>2756004.41248986</v>
      </c>
      <c r="E18" s="25" t="n">
        <f aca="false">E16+E17</f>
        <v>3545539.93196303</v>
      </c>
      <c r="F18" s="25" t="n">
        <f aca="false">F16+F17</f>
        <v>4526432.30428418</v>
      </c>
      <c r="G18" s="25" t="n">
        <f aca="false">G16+G17</f>
        <v>5740905.73775372</v>
      </c>
      <c r="H18" s="25" t="n">
        <f aca="false">H16+H17</f>
        <v>6799256.72714845</v>
      </c>
      <c r="I18" s="25" t="n">
        <f aca="false">I16+I17</f>
        <v>8012713.02927553</v>
      </c>
      <c r="J18" s="25" t="n">
        <f aca="false">J16+J17</f>
        <v>9401252.14753485</v>
      </c>
      <c r="K18" s="25" t="n">
        <f aca="false">K16+K17</f>
        <v>10987220.6977326</v>
      </c>
      <c r="L18" s="25" t="n">
        <f aca="false">L16+L17</f>
        <v>12795599.6935446</v>
      </c>
      <c r="M18" s="25" t="n">
        <f aca="false">M16+M17</f>
        <v>14854298.3102253</v>
      </c>
      <c r="N18" s="25" t="n">
        <f aca="false">SUM(B18:M18)</f>
        <v>83159537.2681355</v>
      </c>
    </row>
    <row r="19" customFormat="false" ht="15" hidden="false" customHeight="false" outlineLevel="0" collapsed="false">
      <c r="A19" s="5" t="s">
        <v>144</v>
      </c>
      <c r="B19" s="21" t="n">
        <f aca="false">Hypothèses!$B$51</f>
        <v>0.14</v>
      </c>
      <c r="C19" s="21" t="n">
        <f aca="false">Hypothèses!$B$51</f>
        <v>0.14</v>
      </c>
      <c r="D19" s="21" t="n">
        <f aca="false">Hypothèses!$B$51</f>
        <v>0.14</v>
      </c>
      <c r="E19" s="21" t="n">
        <f aca="false">Hypothèses!$B$51</f>
        <v>0.14</v>
      </c>
      <c r="F19" s="21" t="n">
        <f aca="false">Hypothèses!$B$51</f>
        <v>0.14</v>
      </c>
      <c r="G19" s="21" t="n">
        <f aca="false">Hypothèses!$B$51</f>
        <v>0.14</v>
      </c>
      <c r="H19" s="21" t="n">
        <f aca="false">Hypothèses!$B$51</f>
        <v>0.14</v>
      </c>
      <c r="I19" s="21" t="n">
        <f aca="false">Hypothèses!$B$51</f>
        <v>0.14</v>
      </c>
      <c r="J19" s="21" t="n">
        <f aca="false">Hypothèses!$B$51</f>
        <v>0.14</v>
      </c>
      <c r="K19" s="21" t="n">
        <f aca="false">Hypothèses!$B$51</f>
        <v>0.14</v>
      </c>
      <c r="L19" s="21" t="n">
        <f aca="false">Hypothèses!$B$51</f>
        <v>0.14</v>
      </c>
      <c r="M19" s="21" t="n">
        <f aca="false">Hypothèses!$B$51</f>
        <v>0.14</v>
      </c>
      <c r="N19" s="21" t="n">
        <f aca="false">M19</f>
        <v>0.14</v>
      </c>
    </row>
    <row r="20" customFormat="false" ht="15" hidden="false" customHeight="false" outlineLevel="0" collapsed="false">
      <c r="A20" s="16" t="s">
        <v>145</v>
      </c>
      <c r="B20" s="25" t="n">
        <f aca="false">B18*B19</f>
        <v>226437.12</v>
      </c>
      <c r="C20" s="25" t="n">
        <f aca="false">C18*C19</f>
        <v>297206.878665665</v>
      </c>
      <c r="D20" s="25" t="n">
        <f aca="false">D18*D19</f>
        <v>385840.61774858</v>
      </c>
      <c r="E20" s="25" t="n">
        <f aca="false">E18*E19</f>
        <v>496375.590474825</v>
      </c>
      <c r="F20" s="25" t="n">
        <f aca="false">F18*F19</f>
        <v>633700.522599785</v>
      </c>
      <c r="G20" s="25" t="n">
        <f aca="false">G18*G19</f>
        <v>803726.803285521</v>
      </c>
      <c r="H20" s="25" t="n">
        <f aca="false">H18*H19</f>
        <v>951895.941800783</v>
      </c>
      <c r="I20" s="25" t="n">
        <f aca="false">I18*I19</f>
        <v>1121779.82409858</v>
      </c>
      <c r="J20" s="25" t="n">
        <f aca="false">J18*J19</f>
        <v>1316175.30065488</v>
      </c>
      <c r="K20" s="25" t="n">
        <f aca="false">K18*K19</f>
        <v>1538210.89768256</v>
      </c>
      <c r="L20" s="25" t="n">
        <f aca="false">L18*L19</f>
        <v>1791383.95709625</v>
      </c>
      <c r="M20" s="25" t="n">
        <f aca="false">M18*M19</f>
        <v>2079601.76343154</v>
      </c>
      <c r="N20" s="25" t="n">
        <f aca="false">SUM(B20:M20)</f>
        <v>11642335.217539</v>
      </c>
    </row>
    <row r="21" customFormat="false" ht="15" hidden="false" customHeight="false" outlineLevel="0" collapsed="false">
      <c r="A21" s="5" t="s">
        <v>146</v>
      </c>
      <c r="B21" s="21" t="n">
        <f aca="false">Hypothèses!$B$54+(Hypothèses!$B$55-Hypothèses!$B$54)*(COLUMN()-COLUMN($B$21))/11</f>
        <v>0.7</v>
      </c>
      <c r="C21" s="21" t="n">
        <f aca="false">Hypothèses!$B$54+(Hypothèses!$B$55-Hypothèses!$B$54)*(COLUMN()-COLUMN($B$21))/11</f>
        <v>0.709090909090909</v>
      </c>
      <c r="D21" s="21" t="n">
        <f aca="false">Hypothèses!$B$54+(Hypothèses!$B$55-Hypothèses!$B$54)*(COLUMN()-COLUMN($B$21))/11</f>
        <v>0.718181818181818</v>
      </c>
      <c r="E21" s="21" t="n">
        <f aca="false">Hypothèses!$B$54+(Hypothèses!$B$55-Hypothèses!$B$54)*(COLUMN()-COLUMN($B$21))/11</f>
        <v>0.727272727272727</v>
      </c>
      <c r="F21" s="21" t="n">
        <f aca="false">Hypothèses!$B$54+(Hypothèses!$B$55-Hypothèses!$B$54)*(COLUMN()-COLUMN($B$21))/11</f>
        <v>0.736363636363636</v>
      </c>
      <c r="G21" s="21" t="n">
        <f aca="false">Hypothèses!$B$54+(Hypothèses!$B$55-Hypothèses!$B$54)*(COLUMN()-COLUMN($B$21))/11</f>
        <v>0.745454545454546</v>
      </c>
      <c r="H21" s="21" t="n">
        <f aca="false">Hypothèses!$B$54+(Hypothèses!$B$55-Hypothèses!$B$54)*(COLUMN()-COLUMN($B$21))/11</f>
        <v>0.754545454545455</v>
      </c>
      <c r="I21" s="21" t="n">
        <f aca="false">Hypothèses!$B$54+(Hypothèses!$B$55-Hypothèses!$B$54)*(COLUMN()-COLUMN($B$21))/11</f>
        <v>0.763636363636364</v>
      </c>
      <c r="J21" s="21" t="n">
        <f aca="false">Hypothèses!$B$54+(Hypothèses!$B$55-Hypothèses!$B$54)*(COLUMN()-COLUMN($B$21))/11</f>
        <v>0.772727272727273</v>
      </c>
      <c r="K21" s="21" t="n">
        <f aca="false">Hypothèses!$B$54+(Hypothèses!$B$55-Hypothèses!$B$54)*(COLUMN()-COLUMN($B$21))/11</f>
        <v>0.781818181818182</v>
      </c>
      <c r="L21" s="21" t="n">
        <f aca="false">Hypothèses!$B$54+(Hypothèses!$B$55-Hypothèses!$B$54)*(COLUMN()-COLUMN($B$21))/11</f>
        <v>0.790909090909091</v>
      </c>
      <c r="M21" s="21" t="n">
        <f aca="false">Hypothèses!$B$54+(Hypothèses!$B$55-Hypothèses!$B$54)*(COLUMN()-COLUMN($B$21))/11</f>
        <v>0.8</v>
      </c>
      <c r="N21" s="21" t="n">
        <f aca="false">M21</f>
        <v>0.8</v>
      </c>
    </row>
    <row r="22" customFormat="false" ht="15" hidden="false" customHeight="false" outlineLevel="0" collapsed="false">
      <c r="A22" s="5" t="s">
        <v>147</v>
      </c>
      <c r="B22" s="19" t="n">
        <f aca="false">B10*B21</f>
        <v>201.6</v>
      </c>
      <c r="C22" s="19" t="n">
        <f aca="false">C10*C21</f>
        <v>267.482569496619</v>
      </c>
      <c r="D22" s="19" t="n">
        <f aca="false">D10*D21</f>
        <v>350.969044327573</v>
      </c>
      <c r="E22" s="19" t="n">
        <f aca="false">E10*E21</f>
        <v>456.276211870774</v>
      </c>
      <c r="F22" s="19" t="n">
        <f aca="false">F10*F21</f>
        <v>588.561759398948</v>
      </c>
      <c r="G22" s="19" t="n">
        <f aca="false">G10*G21</f>
        <v>754.123847391717</v>
      </c>
      <c r="H22" s="19" t="n">
        <f aca="false">H10*H21</f>
        <v>902.167594436326</v>
      </c>
      <c r="I22" s="19" t="n">
        <f aca="false">I10*I21</f>
        <v>1073.76122224</v>
      </c>
      <c r="J22" s="19" t="n">
        <f aca="false">J10*J21</f>
        <v>1272.20316964132</v>
      </c>
      <c r="K22" s="19" t="n">
        <f aca="false">K10*K21</f>
        <v>1501.2153651672</v>
      </c>
      <c r="L22" s="19" t="n">
        <f aca="false">L10*L21</f>
        <v>1764.99424996573</v>
      </c>
      <c r="M22" s="19" t="n">
        <f aca="false">M10*M21</f>
        <v>2068.26765667297</v>
      </c>
      <c r="N22" s="19" t="n">
        <f aca="false">SUM(B22:M22)</f>
        <v>11201.6226906092</v>
      </c>
    </row>
    <row r="23" customFormat="false" ht="15" hidden="false" customHeight="false" outlineLevel="0" collapsed="false">
      <c r="A23" s="26" t="s">
        <v>148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customFormat="false" ht="15" hidden="false" customHeight="false" outlineLevel="0" collapsed="false">
      <c r="A24" s="5" t="s">
        <v>149</v>
      </c>
      <c r="B24" s="24" t="n">
        <f aca="false">B22*Hypothèses!$B$57</f>
        <v>40320</v>
      </c>
      <c r="C24" s="24" t="n">
        <f aca="false">C22*Hypothèses!$B$57</f>
        <v>53496.5138993238</v>
      </c>
      <c r="D24" s="24" t="n">
        <f aca="false">D22*Hypothèses!$B$57</f>
        <v>70193.8088655146</v>
      </c>
      <c r="E24" s="24" t="n">
        <f aca="false">E22*Hypothèses!$B$57</f>
        <v>91255.2423741547</v>
      </c>
      <c r="F24" s="24" t="n">
        <f aca="false">F22*Hypothèses!$B$57</f>
        <v>117712.35187979</v>
      </c>
      <c r="G24" s="24" t="n">
        <f aca="false">G22*Hypothèses!$B$57</f>
        <v>150824.769478343</v>
      </c>
      <c r="H24" s="24" t="n">
        <f aca="false">H22*Hypothèses!$B$57</f>
        <v>180433.518887265</v>
      </c>
      <c r="I24" s="24" t="n">
        <f aca="false">I22*Hypothèses!$B$57</f>
        <v>214752.244448</v>
      </c>
      <c r="J24" s="24" t="n">
        <f aca="false">J22*Hypothèses!$B$57</f>
        <v>254440.633928264</v>
      </c>
      <c r="K24" s="24" t="n">
        <f aca="false">K22*Hypothèses!$B$57</f>
        <v>300243.073033441</v>
      </c>
      <c r="L24" s="24" t="n">
        <f aca="false">L22*Hypothèses!$B$57</f>
        <v>352998.849993146</v>
      </c>
      <c r="M24" s="24" t="n">
        <f aca="false">M22*Hypothèses!$B$57</f>
        <v>413653.531334595</v>
      </c>
      <c r="N24" s="24" t="n">
        <f aca="false">SUM(B24:M24)</f>
        <v>2240324.53812184</v>
      </c>
    </row>
    <row r="25" customFormat="false" ht="15" hidden="false" customHeight="false" outlineLevel="0" collapsed="false">
      <c r="A25" s="5" t="s">
        <v>150</v>
      </c>
      <c r="B25" s="24" t="n">
        <f aca="false">B18*B21*Hypothèses!$B$58</f>
        <v>20379.3408</v>
      </c>
      <c r="C25" s="24" t="n">
        <f aca="false">C18*C21*Hypothèses!$B$58</f>
        <v>27096.0037432853</v>
      </c>
      <c r="D25" s="24" t="n">
        <f aca="false">D18*D21*Hypothèses!$B$58</f>
        <v>35627.6206778234</v>
      </c>
      <c r="E25" s="24" t="n">
        <f aca="false">E18*E21*Hypothèses!$B$58</f>
        <v>46414.3409275161</v>
      </c>
      <c r="F25" s="24" t="n">
        <f aca="false">F18*F21*Hypothèses!$B$58</f>
        <v>59995.8027240575</v>
      </c>
      <c r="G25" s="24" t="n">
        <f aca="false">G18*G21*Hypothèses!$B$58</f>
        <v>77032.5169902227</v>
      </c>
      <c r="H25" s="24" t="n">
        <f aca="false">H18*H21*Hypothèses!$B$58</f>
        <v>92346.2686396344</v>
      </c>
      <c r="I25" s="24" t="n">
        <f aca="false">I18*I21*Hypothèses!$B$58</f>
        <v>110138.382729678</v>
      </c>
      <c r="J25" s="24" t="n">
        <f aca="false">J18*J21*Hypothèses!$B$58</f>
        <v>130762.870779348</v>
      </c>
      <c r="K25" s="24" t="n">
        <f aca="false">K18*K21*Hypothèses!$B$58</f>
        <v>154620.160364455</v>
      </c>
      <c r="L25" s="24" t="n">
        <f aca="false">L18*L21*Hypothèses!$B$58</f>
        <v>182162.810182645</v>
      </c>
      <c r="M25" s="24" t="n">
        <f aca="false">M18*M21*Hypothèses!$B$58</f>
        <v>213901.895667244</v>
      </c>
      <c r="N25" s="24" t="n">
        <f aca="false">SUM(B25:M25)</f>
        <v>1150478.01422591</v>
      </c>
    </row>
    <row r="26" customFormat="false" ht="15" hidden="false" customHeight="false" outlineLevel="0" collapsed="false">
      <c r="A26" s="5" t="s">
        <v>151</v>
      </c>
      <c r="B26" s="24" t="n">
        <f aca="false">B5*Hypothèses!$B$59</f>
        <v>7500</v>
      </c>
      <c r="C26" s="24" t="n">
        <f aca="false">C5*Hypothèses!$B$59</f>
        <v>1125</v>
      </c>
      <c r="D26" s="24" t="n">
        <f aca="false">D5*Hypothèses!$B$59</f>
        <v>1293.75</v>
      </c>
      <c r="E26" s="24" t="n">
        <f aca="false">E5*Hypothèses!$B$59</f>
        <v>1487.8125</v>
      </c>
      <c r="F26" s="24" t="n">
        <f aca="false">F5*Hypothèses!$B$59</f>
        <v>1710.984375</v>
      </c>
      <c r="G26" s="24" t="n">
        <f aca="false">G5*Hypothèses!$B$59</f>
        <v>1967.63203125</v>
      </c>
      <c r="H26" s="24" t="n">
        <f aca="false">H5*Hypothèses!$B$59</f>
        <v>1206.8143125</v>
      </c>
      <c r="I26" s="24" t="n">
        <f aca="false">I5*Hypothèses!$B$59</f>
        <v>1303.3594575</v>
      </c>
      <c r="J26" s="24" t="n">
        <f aca="false">J5*Hypothèses!$B$59</f>
        <v>1407.6282141</v>
      </c>
      <c r="K26" s="24" t="n">
        <f aca="false">K5*Hypothèses!$B$59</f>
        <v>1520.238471228</v>
      </c>
      <c r="L26" s="24" t="n">
        <f aca="false">L5*Hypothèses!$B$59</f>
        <v>1641.85754892624</v>
      </c>
      <c r="M26" s="24" t="n">
        <f aca="false">M5*Hypothèses!$B$59</f>
        <v>1773.20615284034</v>
      </c>
      <c r="N26" s="24" t="n">
        <f aca="false">SUM(B26:M26)</f>
        <v>23938.2830633446</v>
      </c>
    </row>
    <row r="27" customFormat="false" ht="15" hidden="false" customHeight="false" outlineLevel="0" collapsed="false">
      <c r="A27" s="16" t="s">
        <v>152</v>
      </c>
      <c r="B27" s="25" t="n">
        <f aca="false">B24+B25+B26</f>
        <v>68199.3408</v>
      </c>
      <c r="C27" s="25" t="n">
        <f aca="false">C24+C25+C26</f>
        <v>81717.5176426091</v>
      </c>
      <c r="D27" s="25" t="n">
        <f aca="false">D24+D25+D26</f>
        <v>107115.179543338</v>
      </c>
      <c r="E27" s="25" t="n">
        <f aca="false">E24+E25+E26</f>
        <v>139157.395801671</v>
      </c>
      <c r="F27" s="25" t="n">
        <f aca="false">F24+F25+F26</f>
        <v>179419.138978847</v>
      </c>
      <c r="G27" s="25" t="n">
        <f aca="false">G24+G25+G26</f>
        <v>229824.918499816</v>
      </c>
      <c r="H27" s="25" t="n">
        <f aca="false">H24+H25+H26</f>
        <v>273986.6018394</v>
      </c>
      <c r="I27" s="25" t="n">
        <f aca="false">I24+I25+I26</f>
        <v>326193.986635179</v>
      </c>
      <c r="J27" s="25" t="n">
        <f aca="false">J24+J25+J26</f>
        <v>386611.132921712</v>
      </c>
      <c r="K27" s="25" t="n">
        <f aca="false">K24+K25+K26</f>
        <v>456383.471869124</v>
      </c>
      <c r="L27" s="25" t="n">
        <f aca="false">L24+L25+L26</f>
        <v>536803.517724717</v>
      </c>
      <c r="M27" s="25" t="n">
        <f aca="false">M24+M25+M26</f>
        <v>629328.633154679</v>
      </c>
      <c r="N27" s="25" t="n">
        <f aca="false">SUM(B27:M27)</f>
        <v>3414740.83541109</v>
      </c>
    </row>
    <row r="28" customFormat="false" ht="15" hidden="false" customHeight="false" outlineLevel="0" collapsed="false">
      <c r="A28" s="16" t="s">
        <v>153</v>
      </c>
      <c r="B28" s="25" t="n">
        <f aca="false">B20-B27</f>
        <v>158237.7792</v>
      </c>
      <c r="C28" s="25" t="n">
        <f aca="false">C20-C27</f>
        <v>215489.361023056</v>
      </c>
      <c r="D28" s="25" t="n">
        <f aca="false">D20-D27</f>
        <v>278725.438205242</v>
      </c>
      <c r="E28" s="25" t="n">
        <f aca="false">E20-E27</f>
        <v>357218.194673154</v>
      </c>
      <c r="F28" s="25" t="n">
        <f aca="false">F20-F27</f>
        <v>454281.383620938</v>
      </c>
      <c r="G28" s="25" t="n">
        <f aca="false">G20-G27</f>
        <v>573901.884785705</v>
      </c>
      <c r="H28" s="25" t="n">
        <f aca="false">H20-H27</f>
        <v>677909.339961384</v>
      </c>
      <c r="I28" s="25" t="n">
        <f aca="false">I20-I27</f>
        <v>795585.837463396</v>
      </c>
      <c r="J28" s="25" t="n">
        <f aca="false">J20-J27</f>
        <v>929564.167733167</v>
      </c>
      <c r="K28" s="25" t="n">
        <f aca="false">K20-K27</f>
        <v>1081827.42581344</v>
      </c>
      <c r="L28" s="25" t="n">
        <f aca="false">L20-L27</f>
        <v>1254580.43937153</v>
      </c>
      <c r="M28" s="25" t="n">
        <f aca="false">M20-M27</f>
        <v>1450273.13027686</v>
      </c>
      <c r="N28" s="25" t="n">
        <f aca="false">SUM(B28:M28)</f>
        <v>8227594.38212788</v>
      </c>
    </row>
    <row r="29" customFormat="false" ht="15" hidden="false" customHeight="false" outlineLevel="0" collapsed="false">
      <c r="A29" s="26" t="s">
        <v>154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customFormat="false" ht="15" hidden="false" customHeight="false" outlineLevel="0" collapsed="false">
      <c r="A30" s="5" t="s">
        <v>155</v>
      </c>
      <c r="B30" s="24" t="n">
        <f aca="false">Hypothèses!$B$63*(1+Hypothèses!$B$64)^(COLUMN()-COLUMN($B$30))</f>
        <v>40000</v>
      </c>
      <c r="C30" s="24" t="n">
        <f aca="false">Hypothèses!$B$63*(1+Hypothèses!$B$64)^(COLUMN()-COLUMN($B$30))</f>
        <v>41200</v>
      </c>
      <c r="D30" s="24" t="n">
        <f aca="false">Hypothèses!$B$63*(1+Hypothèses!$B$64)^(COLUMN()-COLUMN($B$30))</f>
        <v>42436</v>
      </c>
      <c r="E30" s="24" t="n">
        <f aca="false">Hypothèses!$B$63*(1+Hypothèses!$B$64)^(COLUMN()-COLUMN($B$30))</f>
        <v>43709.08</v>
      </c>
      <c r="F30" s="24" t="n">
        <f aca="false">Hypothèses!$B$63*(1+Hypothèses!$B$64)^(COLUMN()-COLUMN($B$30))</f>
        <v>45020.3524</v>
      </c>
      <c r="G30" s="24" t="n">
        <f aca="false">Hypothèses!$B$63*(1+Hypothèses!$B$64)^(COLUMN()-COLUMN($B$30))</f>
        <v>46370.962972</v>
      </c>
      <c r="H30" s="24" t="n">
        <f aca="false">Hypothèses!$B$63*(1+Hypothèses!$B$64)^(COLUMN()-COLUMN($B$30))</f>
        <v>47762.09186116</v>
      </c>
      <c r="I30" s="24" t="n">
        <f aca="false">Hypothèses!$B$63*(1+Hypothèses!$B$64)^(COLUMN()-COLUMN($B$30))</f>
        <v>49194.9546169948</v>
      </c>
      <c r="J30" s="24" t="n">
        <f aca="false">Hypothèses!$B$63*(1+Hypothèses!$B$64)^(COLUMN()-COLUMN($B$30))</f>
        <v>50670.8032555047</v>
      </c>
      <c r="K30" s="24" t="n">
        <f aca="false">Hypothèses!$B$63*(1+Hypothèses!$B$64)^(COLUMN()-COLUMN($B$30))</f>
        <v>52190.9273531698</v>
      </c>
      <c r="L30" s="24" t="n">
        <f aca="false">Hypothèses!$B$63*(1+Hypothèses!$B$64)^(COLUMN()-COLUMN($B$30))</f>
        <v>53756.6551737649</v>
      </c>
      <c r="M30" s="24" t="n">
        <f aca="false">Hypothèses!$B$63*(1+Hypothèses!$B$64)^(COLUMN()-COLUMN($B$30))</f>
        <v>55369.3548289778</v>
      </c>
      <c r="N30" s="24" t="n">
        <f aca="false">SUM(B30:M30)</f>
        <v>567681.182461572</v>
      </c>
    </row>
    <row r="31" customFormat="false" ht="15" hidden="false" customHeight="false" outlineLevel="0" collapsed="false">
      <c r="A31" s="5" t="s">
        <v>156</v>
      </c>
      <c r="B31" s="19" t="n">
        <f aca="false">IF(COLUMN()-COLUMN($B$31)&lt;=5,Hypothèses!$B$67,Hypothèses!$B$68)</f>
        <v>0</v>
      </c>
      <c r="C31" s="19" t="n">
        <f aca="false">IF(COLUMN()-COLUMN($B$31)&lt;=5,Hypothèses!$B$67,Hypothèses!$B$68)</f>
        <v>0</v>
      </c>
      <c r="D31" s="19" t="n">
        <f aca="false">IF(COLUMN()-COLUMN($B$31)&lt;=5,Hypothèses!$B$67,Hypothèses!$B$68)</f>
        <v>0</v>
      </c>
      <c r="E31" s="19" t="n">
        <f aca="false">IF(COLUMN()-COLUMN($B$31)&lt;=5,Hypothèses!$B$67,Hypothèses!$B$68)</f>
        <v>0</v>
      </c>
      <c r="F31" s="19" t="n">
        <f aca="false">IF(COLUMN()-COLUMN($B$31)&lt;=5,Hypothèses!$B$67,Hypothèses!$B$68)</f>
        <v>0</v>
      </c>
      <c r="G31" s="19" t="n">
        <f aca="false">IF(COLUMN()-COLUMN($B$31)&lt;=5,Hypothèses!$B$67,Hypothèses!$B$68)</f>
        <v>0</v>
      </c>
      <c r="H31" s="19" t="n">
        <f aca="false">IF(COLUMN()-COLUMN($B$31)&lt;=5,Hypothèses!$B$67,Hypothèses!$B$68)</f>
        <v>1</v>
      </c>
      <c r="I31" s="19" t="n">
        <f aca="false">IF(COLUMN()-COLUMN($B$31)&lt;=5,Hypothèses!$B$67,Hypothèses!$B$68)</f>
        <v>1</v>
      </c>
      <c r="J31" s="19" t="n">
        <f aca="false">IF(COLUMN()-COLUMN($B$31)&lt;=5,Hypothèses!$B$67,Hypothèses!$B$68)</f>
        <v>1</v>
      </c>
      <c r="K31" s="19" t="n">
        <f aca="false">IF(COLUMN()-COLUMN($B$31)&lt;=5,Hypothèses!$B$67,Hypothèses!$B$68)</f>
        <v>1</v>
      </c>
      <c r="L31" s="19" t="n">
        <f aca="false">IF(COLUMN()-COLUMN($B$31)&lt;=5,Hypothèses!$B$67,Hypothèses!$B$68)</f>
        <v>1</v>
      </c>
      <c r="M31" s="19" t="n">
        <f aca="false">IF(COLUMN()-COLUMN($B$31)&lt;=5,Hypothèses!$B$67,Hypothèses!$B$68)</f>
        <v>1</v>
      </c>
      <c r="N31" s="19" t="n">
        <f aca="false">M31</f>
        <v>1</v>
      </c>
    </row>
    <row r="32" customFormat="false" ht="15" hidden="false" customHeight="false" outlineLevel="0" collapsed="false">
      <c r="A32" s="5" t="s">
        <v>157</v>
      </c>
      <c r="B32" s="24" t="n">
        <f aca="false">B31*Hypothèses!$B$71</f>
        <v>0</v>
      </c>
      <c r="C32" s="24" t="n">
        <f aca="false">C31*Hypothèses!$B$71</f>
        <v>0</v>
      </c>
      <c r="D32" s="24" t="n">
        <f aca="false">D31*Hypothèses!$B$71</f>
        <v>0</v>
      </c>
      <c r="E32" s="24" t="n">
        <f aca="false">E31*Hypothèses!$B$71</f>
        <v>0</v>
      </c>
      <c r="F32" s="24" t="n">
        <f aca="false">F31*Hypothèses!$B$71</f>
        <v>0</v>
      </c>
      <c r="G32" s="24" t="n">
        <f aca="false">G31*Hypothèses!$B$71</f>
        <v>0</v>
      </c>
      <c r="H32" s="24" t="n">
        <f aca="false">H31*Hypothèses!$B$71</f>
        <v>250000</v>
      </c>
      <c r="I32" s="24" t="n">
        <f aca="false">I31*Hypothèses!$B$71</f>
        <v>250000</v>
      </c>
      <c r="J32" s="24" t="n">
        <f aca="false">J31*Hypothèses!$B$71</f>
        <v>250000</v>
      </c>
      <c r="K32" s="24" t="n">
        <f aca="false">K31*Hypothèses!$B$71</f>
        <v>250000</v>
      </c>
      <c r="L32" s="24" t="n">
        <f aca="false">L31*Hypothèses!$B$71</f>
        <v>250000</v>
      </c>
      <c r="M32" s="24" t="n">
        <f aca="false">M31*Hypothèses!$B$71</f>
        <v>250000</v>
      </c>
      <c r="N32" s="24" t="n">
        <f aca="false">SUM(B32:M32)</f>
        <v>1500000</v>
      </c>
    </row>
    <row r="33" customFormat="false" ht="15" hidden="false" customHeight="false" outlineLevel="0" collapsed="false">
      <c r="A33" s="5" t="s">
        <v>158</v>
      </c>
      <c r="B33" s="24" t="n">
        <f aca="false">Hypothèses!$B$72*(1+Hypothèses!$B$73)^(COLUMN()-COLUMN($B$33))</f>
        <v>100000</v>
      </c>
      <c r="C33" s="24" t="n">
        <f aca="false">Hypothèses!$B$72*(1+Hypothèses!$B$73)^(COLUMN()-COLUMN($B$33))</f>
        <v>105000</v>
      </c>
      <c r="D33" s="24" t="n">
        <f aca="false">Hypothèses!$B$72*(1+Hypothèses!$B$73)^(COLUMN()-COLUMN($B$33))</f>
        <v>110250</v>
      </c>
      <c r="E33" s="24" t="n">
        <f aca="false">Hypothèses!$B$72*(1+Hypothèses!$B$73)^(COLUMN()-COLUMN($B$33))</f>
        <v>115762.5</v>
      </c>
      <c r="F33" s="24" t="n">
        <f aca="false">Hypothèses!$B$72*(1+Hypothèses!$B$73)^(COLUMN()-COLUMN($B$33))</f>
        <v>121550.625</v>
      </c>
      <c r="G33" s="24" t="n">
        <f aca="false">Hypothèses!$B$72*(1+Hypothèses!$B$73)^(COLUMN()-COLUMN($B$33))</f>
        <v>127628.15625</v>
      </c>
      <c r="H33" s="24" t="n">
        <f aca="false">Hypothèses!$B$72*(1+Hypothèses!$B$73)^(COLUMN()-COLUMN($B$33))</f>
        <v>134009.5640625</v>
      </c>
      <c r="I33" s="24" t="n">
        <f aca="false">Hypothèses!$B$72*(1+Hypothèses!$B$73)^(COLUMN()-COLUMN($B$33))</f>
        <v>140710.042265625</v>
      </c>
      <c r="J33" s="24" t="n">
        <f aca="false">Hypothèses!$B$72*(1+Hypothèses!$B$73)^(COLUMN()-COLUMN($B$33))</f>
        <v>147745.544378906</v>
      </c>
      <c r="K33" s="24" t="n">
        <f aca="false">Hypothèses!$B$72*(1+Hypothèses!$B$73)^(COLUMN()-COLUMN($B$33))</f>
        <v>155132.821597852</v>
      </c>
      <c r="L33" s="24" t="n">
        <f aca="false">Hypothèses!$B$72*(1+Hypothèses!$B$73)^(COLUMN()-COLUMN($B$33))</f>
        <v>162889.462677744</v>
      </c>
      <c r="M33" s="24" t="n">
        <f aca="false">Hypothèses!$B$72*(1+Hypothèses!$B$73)^(COLUMN()-COLUMN($B$33))</f>
        <v>171033.935811631</v>
      </c>
      <c r="N33" s="24" t="n">
        <f aca="false">SUM(B33:M33)</f>
        <v>1591712.65204426</v>
      </c>
    </row>
    <row r="34" customFormat="false" ht="15" hidden="false" customHeight="false" outlineLevel="0" collapsed="false">
      <c r="A34" s="5" t="s">
        <v>159</v>
      </c>
      <c r="B34" s="24" t="n">
        <f aca="false">Hypothèses!$B$76</f>
        <v>60000</v>
      </c>
      <c r="C34" s="24" t="n">
        <f aca="false">Hypothèses!$B$76</f>
        <v>60000</v>
      </c>
      <c r="D34" s="24" t="n">
        <f aca="false">Hypothèses!$B$76</f>
        <v>60000</v>
      </c>
      <c r="E34" s="24" t="n">
        <f aca="false">Hypothèses!$B$76</f>
        <v>60000</v>
      </c>
      <c r="F34" s="24" t="n">
        <f aca="false">Hypothèses!$B$76</f>
        <v>60000</v>
      </c>
      <c r="G34" s="24" t="n">
        <f aca="false">Hypothèses!$B$76</f>
        <v>60000</v>
      </c>
      <c r="H34" s="24" t="n">
        <f aca="false">Hypothèses!$B$76</f>
        <v>60000</v>
      </c>
      <c r="I34" s="24" t="n">
        <f aca="false">Hypothèses!$B$76</f>
        <v>60000</v>
      </c>
      <c r="J34" s="24" t="n">
        <f aca="false">Hypothèses!$B$76</f>
        <v>60000</v>
      </c>
      <c r="K34" s="24" t="n">
        <f aca="false">Hypothèses!$B$76</f>
        <v>60000</v>
      </c>
      <c r="L34" s="24" t="n">
        <f aca="false">Hypothèses!$B$76</f>
        <v>60000</v>
      </c>
      <c r="M34" s="24" t="n">
        <f aca="false">Hypothèses!$B$76</f>
        <v>60000</v>
      </c>
      <c r="N34" s="24" t="n">
        <f aca="false">SUM(B34:M34)</f>
        <v>720000</v>
      </c>
    </row>
    <row r="35" customFormat="false" ht="15" hidden="false" customHeight="false" outlineLevel="0" collapsed="false">
      <c r="A35" s="16" t="s">
        <v>160</v>
      </c>
      <c r="B35" s="25" t="n">
        <f aca="false">B30+B32+B33+B34</f>
        <v>200000</v>
      </c>
      <c r="C35" s="25" t="n">
        <f aca="false">C30+C32+C33+C34</f>
        <v>206200</v>
      </c>
      <c r="D35" s="25" t="n">
        <f aca="false">D30+D32+D33+D34</f>
        <v>212686</v>
      </c>
      <c r="E35" s="25" t="n">
        <f aca="false">E30+E32+E33+E34</f>
        <v>219471.58</v>
      </c>
      <c r="F35" s="25" t="n">
        <f aca="false">F30+F32+F33+F34</f>
        <v>226570.9774</v>
      </c>
      <c r="G35" s="25" t="n">
        <f aca="false">G30+G32+G33+G34</f>
        <v>233999.119222</v>
      </c>
      <c r="H35" s="25" t="n">
        <f aca="false">H30+H32+H33+H34</f>
        <v>491771.65592366</v>
      </c>
      <c r="I35" s="25" t="n">
        <f aca="false">I30+I32+I33+I34</f>
        <v>499904.99688262</v>
      </c>
      <c r="J35" s="25" t="n">
        <f aca="false">J30+J32+J33+J34</f>
        <v>508416.347634411</v>
      </c>
      <c r="K35" s="25" t="n">
        <f aca="false">K30+K32+K33+K34</f>
        <v>517323.748951021</v>
      </c>
      <c r="L35" s="25" t="n">
        <f aca="false">L30+L32+L33+L34</f>
        <v>526646.117851509</v>
      </c>
      <c r="M35" s="25" t="n">
        <f aca="false">M30+M32+M33+M34</f>
        <v>536403.290640609</v>
      </c>
      <c r="N35" s="25" t="n">
        <f aca="false">SUM(B35:M35)</f>
        <v>4379393.83450583</v>
      </c>
    </row>
    <row r="36" customFormat="false" ht="15" hidden="false" customHeight="false" outlineLevel="0" collapsed="false">
      <c r="A36" s="26" t="s">
        <v>161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customFormat="false" ht="15" hidden="false" customHeight="false" outlineLevel="0" collapsed="false">
      <c r="A37" s="16" t="s">
        <v>162</v>
      </c>
      <c r="B37" s="27" t="n">
        <f aca="false">B28-B35</f>
        <v>-41762.2208</v>
      </c>
      <c r="C37" s="27" t="n">
        <f aca="false">C28-C35</f>
        <v>9289.36102305583</v>
      </c>
      <c r="D37" s="27" t="n">
        <f aca="false">D28-D35</f>
        <v>66039.4382052419</v>
      </c>
      <c r="E37" s="27" t="n">
        <f aca="false">E28-E35</f>
        <v>137746.614673154</v>
      </c>
      <c r="F37" s="27" t="n">
        <f aca="false">F28-F35</f>
        <v>227710.406220938</v>
      </c>
      <c r="G37" s="27" t="n">
        <f aca="false">G28-G35</f>
        <v>339902.765563705</v>
      </c>
      <c r="H37" s="27" t="n">
        <f aca="false">H28-H35</f>
        <v>186137.684037724</v>
      </c>
      <c r="I37" s="27" t="n">
        <f aca="false">I28-I35</f>
        <v>295680.840580776</v>
      </c>
      <c r="J37" s="27" t="n">
        <f aca="false">J28-J35</f>
        <v>421147.820098756</v>
      </c>
      <c r="K37" s="27" t="n">
        <f aca="false">K28-K35</f>
        <v>564503.676862417</v>
      </c>
      <c r="L37" s="27" t="n">
        <f aca="false">L28-L35</f>
        <v>727934.321520025</v>
      </c>
      <c r="M37" s="27" t="n">
        <f aca="false">M28-M35</f>
        <v>913869.839636252</v>
      </c>
      <c r="N37" s="27" t="n">
        <f aca="false">SUM(B37:M37)</f>
        <v>3848200.54762205</v>
      </c>
    </row>
    <row r="38" customFormat="false" ht="15" hidden="false" customHeight="false" outlineLevel="0" collapsed="false">
      <c r="A38" s="5" t="s">
        <v>163</v>
      </c>
      <c r="B38" s="24" t="n">
        <f aca="false">B37</f>
        <v>-41762.2208</v>
      </c>
      <c r="C38" s="24" t="n">
        <f aca="false">B38+C37</f>
        <v>-32472.8597769442</v>
      </c>
      <c r="D38" s="24" t="n">
        <f aca="false">C38+D37</f>
        <v>33566.5784282977</v>
      </c>
      <c r="E38" s="24" t="n">
        <f aca="false">D38+E37</f>
        <v>171313.193101452</v>
      </c>
      <c r="F38" s="24" t="n">
        <f aca="false">E38+F37</f>
        <v>399023.599322389</v>
      </c>
      <c r="G38" s="24" t="n">
        <f aca="false">F38+G37</f>
        <v>738926.364886094</v>
      </c>
      <c r="H38" s="24" t="n">
        <f aca="false">G38+H37</f>
        <v>925064.048923818</v>
      </c>
      <c r="I38" s="24" t="n">
        <f aca="false">H38+I37</f>
        <v>1220744.88950459</v>
      </c>
      <c r="J38" s="24" t="n">
        <f aca="false">I38+J37</f>
        <v>1641892.70960335</v>
      </c>
      <c r="K38" s="24" t="n">
        <f aca="false">J38+K37</f>
        <v>2206396.38646577</v>
      </c>
      <c r="L38" s="24" t="n">
        <f aca="false">K38+L37</f>
        <v>2934330.70798579</v>
      </c>
      <c r="M38" s="24" t="n">
        <f aca="false">L38+M37</f>
        <v>3848200.54762204</v>
      </c>
      <c r="N38" s="24" t="n">
        <f aca="false">M38</f>
        <v>3848200.54762204</v>
      </c>
    </row>
  </sheetData>
  <mergeCells count="4">
    <mergeCell ref="A1:N1"/>
    <mergeCell ref="A23:N23"/>
    <mergeCell ref="A29:N29"/>
    <mergeCell ref="A36: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164</v>
      </c>
      <c r="B1" s="1"/>
      <c r="C1" s="1"/>
      <c r="D1" s="1"/>
    </row>
    <row r="3" customFormat="false" ht="15" hidden="false" customHeight="false" outlineLevel="0" collapsed="false">
      <c r="A3" s="16" t="s">
        <v>115</v>
      </c>
      <c r="B3" s="17" t="s">
        <v>165</v>
      </c>
      <c r="C3" s="17" t="s">
        <v>166</v>
      </c>
      <c r="D3" s="17" t="s">
        <v>167</v>
      </c>
    </row>
    <row r="4" customFormat="false" ht="15" hidden="false" customHeight="false" outlineLevel="0" collapsed="false">
      <c r="A4" s="5" t="s">
        <v>168</v>
      </c>
      <c r="B4" s="19" t="n">
        <f aca="false">Hypothèses!$B$13</f>
        <v>15</v>
      </c>
      <c r="C4" s="19" t="n">
        <f aca="false">B5</f>
        <v>47.8765661266892</v>
      </c>
      <c r="D4" s="19" t="n">
        <f aca="false">C5</f>
        <v>96.3370574437254</v>
      </c>
    </row>
    <row r="5" customFormat="false" ht="15" hidden="false" customHeight="false" outlineLevel="0" collapsed="false">
      <c r="A5" s="5" t="s">
        <v>169</v>
      </c>
      <c r="B5" s="23" t="n">
        <f aca="false">'Mensuel - An 1'!$M$4</f>
        <v>47.8765661266892</v>
      </c>
      <c r="C5" s="23" t="n">
        <f aca="false">B5*(1+Hypothèses!$B$16)^12</f>
        <v>96.3370574437254</v>
      </c>
      <c r="D5" s="23" t="n">
        <f aca="false">C5*(1+Hypothèses!$B$17)^12</f>
        <v>137.353608457117</v>
      </c>
    </row>
    <row r="6" customFormat="false" ht="15" hidden="false" customHeight="false" outlineLevel="0" collapsed="false">
      <c r="A6" s="5" t="s">
        <v>170</v>
      </c>
      <c r="B6" s="19" t="n">
        <f aca="false">(B4+B5)/2</f>
        <v>31.4382830633446</v>
      </c>
      <c r="C6" s="19" t="n">
        <f aca="false">(C4+C5)/2</f>
        <v>72.1068117852073</v>
      </c>
      <c r="D6" s="19" t="n">
        <f aca="false">(D4+D5)/2</f>
        <v>116.845332950421</v>
      </c>
    </row>
    <row r="7" customFormat="false" ht="15" hidden="false" customHeight="false" outlineLevel="0" collapsed="false">
      <c r="A7" s="5" t="s">
        <v>131</v>
      </c>
      <c r="B7" s="20" t="n">
        <f aca="false">AVERAGE('Mensuel - An 1'!B6:M6)</f>
        <v>13</v>
      </c>
      <c r="C7" s="20" t="n">
        <f aca="false">Hypothèses!$B$23</f>
        <v>20</v>
      </c>
      <c r="D7" s="20" t="n">
        <f aca="false">Hypothèses!$B$24</f>
        <v>22</v>
      </c>
    </row>
    <row r="8" customFormat="false" ht="15" hidden="false" customHeight="false" outlineLevel="0" collapsed="false">
      <c r="A8" s="5" t="s">
        <v>171</v>
      </c>
      <c r="B8" s="19" t="n">
        <f aca="false">SUM('Mensuel - An 1'!B7:M7)</f>
        <v>5204.90529544395</v>
      </c>
      <c r="C8" s="19" t="n">
        <f aca="false">C6*C7*12</f>
        <v>17305.6348284498</v>
      </c>
      <c r="D8" s="19" t="n">
        <f aca="false">D6*D7*12</f>
        <v>30847.1678989112</v>
      </c>
    </row>
    <row r="9" customFormat="false" ht="15" hidden="false" customHeight="false" outlineLevel="0" collapsed="false">
      <c r="A9" s="5" t="s">
        <v>133</v>
      </c>
      <c r="B9" s="21" t="n">
        <f aca="false">AVERAGE('Mensuel - An 1'!B8:M8)</f>
        <v>0.675</v>
      </c>
      <c r="C9" s="21" t="n">
        <f aca="false">Hypothèses!$B$28</f>
        <v>0.78</v>
      </c>
      <c r="D9" s="21" t="n">
        <f aca="false">Hypothèses!$B$29</f>
        <v>0.8</v>
      </c>
    </row>
    <row r="10" customFormat="false" ht="15" hidden="false" customHeight="false" outlineLevel="0" collapsed="false">
      <c r="A10" s="5" t="s">
        <v>134</v>
      </c>
      <c r="B10" s="22" t="n">
        <f aca="false">Hypothèses!$B$25*B9</f>
        <v>2.7</v>
      </c>
      <c r="C10" s="22" t="n">
        <f aca="false">Hypothèses!$B$25*C9</f>
        <v>3.12</v>
      </c>
      <c r="D10" s="22" t="n">
        <f aca="false">Hypothèses!$B$25*D9</f>
        <v>3.2</v>
      </c>
    </row>
    <row r="11" customFormat="false" ht="15" hidden="false" customHeight="false" outlineLevel="0" collapsed="false">
      <c r="A11" s="16" t="s">
        <v>135</v>
      </c>
      <c r="B11" s="23" t="n">
        <f aca="false">SUM('Mensuel - An 1'!B10:M10)</f>
        <v>14577.4367696878</v>
      </c>
      <c r="C11" s="23" t="n">
        <f aca="false">C8*C10</f>
        <v>53993.5806647632</v>
      </c>
      <c r="D11" s="23" t="n">
        <f aca="false">D8*D10</f>
        <v>98710.937276516</v>
      </c>
    </row>
    <row r="12" customFormat="false" ht="15" hidden="false" customHeight="false" outlineLevel="0" collapsed="false">
      <c r="A12" s="5" t="s">
        <v>136</v>
      </c>
      <c r="B12" s="21" t="n">
        <f aca="false">AVERAGE('Mensuel - An 1'!B11:M11)</f>
        <v>0.065</v>
      </c>
      <c r="C12" s="21" t="n">
        <f aca="false">Hypothèses!$B$42</f>
        <v>0.1</v>
      </c>
      <c r="D12" s="21" t="n">
        <f aca="false">Hypothèses!$B$43</f>
        <v>0.12</v>
      </c>
    </row>
    <row r="13" customFormat="false" ht="15" hidden="false" customHeight="false" outlineLevel="0" collapsed="false">
      <c r="A13" s="5" t="s">
        <v>137</v>
      </c>
      <c r="B13" s="19" t="n">
        <f aca="false">SUM('Mensuel - An 1'!B12:M12)</f>
        <v>13549.3398456551</v>
      </c>
      <c r="C13" s="19" t="n">
        <f aca="false">C11*(1-C12)</f>
        <v>48594.2225982869</v>
      </c>
      <c r="D13" s="19" t="n">
        <f aca="false">D11*(1-D12)</f>
        <v>86865.6248033341</v>
      </c>
    </row>
    <row r="14" customFormat="false" ht="15" hidden="false" customHeight="false" outlineLevel="0" collapsed="false">
      <c r="A14" s="5" t="s">
        <v>138</v>
      </c>
      <c r="B14" s="19" t="n">
        <f aca="false">SUM('Mensuel - An 1'!B13:M13)</f>
        <v>1028.09692403271</v>
      </c>
      <c r="C14" s="19" t="n">
        <f aca="false">C11*C12</f>
        <v>5399.35806647632</v>
      </c>
      <c r="D14" s="19" t="n">
        <f aca="false">D11*D12</f>
        <v>11845.3124731819</v>
      </c>
    </row>
    <row r="15" customFormat="false" ht="15" hidden="false" customHeight="false" outlineLevel="0" collapsed="false">
      <c r="A15" s="5" t="s">
        <v>139</v>
      </c>
      <c r="B15" s="24" t="n">
        <f aca="false">Hypothèses!$B$39</f>
        <v>5400</v>
      </c>
      <c r="C15" s="24" t="n">
        <f aca="false">Hypothèses!$B$39</f>
        <v>5400</v>
      </c>
      <c r="D15" s="24" t="n">
        <f aca="false">Hypothèses!$B$39</f>
        <v>5400</v>
      </c>
    </row>
    <row r="16" customFormat="false" ht="15" hidden="false" customHeight="false" outlineLevel="0" collapsed="false">
      <c r="A16" s="5" t="s">
        <v>140</v>
      </c>
      <c r="B16" s="24" t="n">
        <f aca="false">B15*Hypothèses!$B$44</f>
        <v>9720</v>
      </c>
      <c r="C16" s="24" t="n">
        <f aca="false">C15*Hypothèses!$B$44</f>
        <v>9720</v>
      </c>
      <c r="D16" s="24" t="n">
        <f aca="false">D15*Hypothèses!$B$44</f>
        <v>9720</v>
      </c>
    </row>
    <row r="17" customFormat="false" ht="15" hidden="false" customHeight="false" outlineLevel="0" collapsed="false">
      <c r="A17" s="5" t="s">
        <v>141</v>
      </c>
      <c r="B17" s="24" t="n">
        <f aca="false">SUM('Mensuel - An 1'!B16:M16)</f>
        <v>73166435.1665376</v>
      </c>
      <c r="C17" s="24" t="n">
        <f aca="false">C13*C15</f>
        <v>262408802.030749</v>
      </c>
      <c r="D17" s="24" t="n">
        <f aca="false">D13*D15</f>
        <v>469074373.938004</v>
      </c>
    </row>
    <row r="18" customFormat="false" ht="15" hidden="false" customHeight="false" outlineLevel="0" collapsed="false">
      <c r="A18" s="5" t="s">
        <v>142</v>
      </c>
      <c r="B18" s="24" t="n">
        <f aca="false">SUM('Mensuel - An 1'!B17:M17)</f>
        <v>9993102.10159789</v>
      </c>
      <c r="C18" s="24" t="n">
        <f aca="false">C14*C16</f>
        <v>52481760.4061499</v>
      </c>
      <c r="D18" s="24" t="n">
        <f aca="false">D14*D16</f>
        <v>115136437.239328</v>
      </c>
    </row>
    <row r="19" customFormat="false" ht="15" hidden="false" customHeight="false" outlineLevel="0" collapsed="false">
      <c r="A19" s="16" t="s">
        <v>143</v>
      </c>
      <c r="B19" s="27" t="n">
        <f aca="false">B17+B18</f>
        <v>83159537.2681355</v>
      </c>
      <c r="C19" s="27" t="n">
        <f aca="false">C17+C18</f>
        <v>314890562.436899</v>
      </c>
      <c r="D19" s="27" t="n">
        <f aca="false">D17+D18</f>
        <v>584210811.177332</v>
      </c>
    </row>
    <row r="20" customFormat="false" ht="15" hidden="false" customHeight="false" outlineLevel="0" collapsed="false">
      <c r="A20" s="5" t="s">
        <v>144</v>
      </c>
      <c r="B20" s="21" t="n">
        <f aca="false">Hypothèses!$B$51</f>
        <v>0.14</v>
      </c>
      <c r="C20" s="21" t="n">
        <f aca="false">Hypothèses!$B$52</f>
        <v>0.125</v>
      </c>
      <c r="D20" s="21" t="n">
        <f aca="false">Hypothèses!$B$53</f>
        <v>0.115</v>
      </c>
    </row>
    <row r="21" customFormat="false" ht="15" hidden="false" customHeight="false" outlineLevel="0" collapsed="false">
      <c r="A21" s="16" t="s">
        <v>145</v>
      </c>
      <c r="B21" s="27" t="n">
        <f aca="false">SUM('Mensuel - An 1'!B20:M20)</f>
        <v>11642335.217539</v>
      </c>
      <c r="C21" s="27" t="n">
        <f aca="false">C19*C20</f>
        <v>39361320.3046124</v>
      </c>
      <c r="D21" s="27" t="n">
        <f aca="false">D19*D20</f>
        <v>67184243.2853932</v>
      </c>
    </row>
    <row r="22" customFormat="false" ht="15" hidden="false" customHeight="false" outlineLevel="0" collapsed="false">
      <c r="A22" s="5" t="s">
        <v>146</v>
      </c>
      <c r="B22" s="21" t="n">
        <f aca="false">AVERAGE('Mensuel - An 1'!B21:M21)</f>
        <v>0.75</v>
      </c>
      <c r="C22" s="21" t="n">
        <f aca="false">Hypothèses!$B$56</f>
        <v>0.85</v>
      </c>
      <c r="D22" s="21" t="n">
        <f aca="false">Hypothèses!$B$56</f>
        <v>0.85</v>
      </c>
    </row>
    <row r="23" customFormat="false" ht="15" hidden="false" customHeight="false" outlineLevel="0" collapsed="false">
      <c r="A23" s="26" t="s">
        <v>148</v>
      </c>
      <c r="B23" s="26"/>
      <c r="C23" s="26"/>
      <c r="D23" s="26"/>
    </row>
    <row r="24" customFormat="false" ht="15" hidden="false" customHeight="false" outlineLevel="0" collapsed="false">
      <c r="A24" s="5" t="s">
        <v>149</v>
      </c>
      <c r="B24" s="24" t="n">
        <f aca="false">SUM('Mensuel - An 1'!B24:M24)</f>
        <v>2240324.53812184</v>
      </c>
      <c r="C24" s="24" t="n">
        <f aca="false">C11*C22*Hypothèses!$B$57</f>
        <v>9178908.71300975</v>
      </c>
      <c r="D24" s="24" t="n">
        <f aca="false">D11*D22*Hypothèses!$B$57</f>
        <v>16780859.3370077</v>
      </c>
    </row>
    <row r="25" customFormat="false" ht="15" hidden="false" customHeight="false" outlineLevel="0" collapsed="false">
      <c r="A25" s="5" t="s">
        <v>150</v>
      </c>
      <c r="B25" s="24" t="n">
        <f aca="false">SUM('Mensuel - An 1'!B25:M25)</f>
        <v>1150478.01422591</v>
      </c>
      <c r="C25" s="24" t="n">
        <f aca="false">C19*C22*Hypothèses!$B$58</f>
        <v>4817825.60528456</v>
      </c>
      <c r="D25" s="24" t="n">
        <f aca="false">D19*D22*Hypothèses!$B$58</f>
        <v>8938425.41101318</v>
      </c>
    </row>
    <row r="26" customFormat="false" ht="15" hidden="false" customHeight="false" outlineLevel="0" collapsed="false">
      <c r="A26" s="5" t="s">
        <v>172</v>
      </c>
      <c r="B26" s="19" t="n">
        <f aca="false">SUM('Mensuel - An 1'!B5:M5)</f>
        <v>47.8765661266892</v>
      </c>
      <c r="C26" s="19" t="n">
        <f aca="false">C5-B5</f>
        <v>48.4604913170362</v>
      </c>
      <c r="D26" s="19" t="n">
        <f aca="false">D5-C5</f>
        <v>41.0165510133919</v>
      </c>
    </row>
    <row r="27" customFormat="false" ht="15" hidden="false" customHeight="false" outlineLevel="0" collapsed="false">
      <c r="A27" s="5" t="s">
        <v>151</v>
      </c>
      <c r="B27" s="24" t="n">
        <f aca="false">B26*Hypothèses!$B$59</f>
        <v>23938.2830633446</v>
      </c>
      <c r="C27" s="24" t="n">
        <f aca="false">C26*Hypothèses!$B$59</f>
        <v>24230.2456585181</v>
      </c>
      <c r="D27" s="24" t="n">
        <f aca="false">D26*Hypothèses!$B$59</f>
        <v>20508.2755066959</v>
      </c>
    </row>
    <row r="28" customFormat="false" ht="15" hidden="false" customHeight="false" outlineLevel="0" collapsed="false">
      <c r="A28" s="16" t="s">
        <v>152</v>
      </c>
      <c r="B28" s="25" t="n">
        <f aca="false">B24+B25+B27</f>
        <v>3414740.83541109</v>
      </c>
      <c r="C28" s="25" t="n">
        <f aca="false">C24+C25+C27</f>
        <v>14020964.5639528</v>
      </c>
      <c r="D28" s="25" t="n">
        <f aca="false">D24+D25+D27</f>
        <v>25739793.0235276</v>
      </c>
    </row>
    <row r="29" customFormat="false" ht="15" hidden="false" customHeight="false" outlineLevel="0" collapsed="false">
      <c r="A29" s="16" t="s">
        <v>153</v>
      </c>
      <c r="B29" s="27" t="n">
        <f aca="false">B21-B28</f>
        <v>8227594.38212788</v>
      </c>
      <c r="C29" s="27" t="n">
        <f aca="false">C21-C28</f>
        <v>25340355.7406596</v>
      </c>
      <c r="D29" s="27" t="n">
        <f aca="false">D21-D28</f>
        <v>41444450.2618656</v>
      </c>
    </row>
    <row r="30" customFormat="false" ht="15" hidden="false" customHeight="false" outlineLevel="0" collapsed="false">
      <c r="A30" s="26" t="s">
        <v>154</v>
      </c>
      <c r="B30" s="26"/>
      <c r="C30" s="26"/>
      <c r="D30" s="26"/>
    </row>
    <row r="31" customFormat="false" ht="15" hidden="false" customHeight="false" outlineLevel="0" collapsed="false">
      <c r="A31" s="5" t="s">
        <v>173</v>
      </c>
      <c r="B31" s="20" t="n">
        <f aca="false">AVERAGE('Mensuel - An 1'!B31:M31)</f>
        <v>0.5</v>
      </c>
      <c r="C31" s="20" t="n">
        <f aca="false">Hypothèses!$B$69</f>
        <v>3</v>
      </c>
      <c r="D31" s="20" t="n">
        <f aca="false">Hypothèses!$B$70</f>
        <v>6</v>
      </c>
    </row>
    <row r="32" customFormat="false" ht="15" hidden="false" customHeight="false" outlineLevel="0" collapsed="false">
      <c r="A32" s="5" t="s">
        <v>174</v>
      </c>
      <c r="B32" s="24" t="n">
        <f aca="false">SUM('Mensuel - An 1'!B30:M30)</f>
        <v>567681.182461572</v>
      </c>
      <c r="C32" s="24" t="n">
        <f aca="false">Hypothèses!$B$65</f>
        <v>900000</v>
      </c>
      <c r="D32" s="24" t="n">
        <f aca="false">Hypothèses!$B$66</f>
        <v>1800000</v>
      </c>
    </row>
    <row r="33" customFormat="false" ht="15" hidden="false" customHeight="false" outlineLevel="0" collapsed="false">
      <c r="A33" s="5" t="s">
        <v>175</v>
      </c>
      <c r="B33" s="24" t="n">
        <f aca="false">SUM('Mensuel - An 1'!B32:M32)</f>
        <v>1500000</v>
      </c>
      <c r="C33" s="24" t="n">
        <f aca="false">C31*Hypothèses!$B$71*12</f>
        <v>9000000</v>
      </c>
      <c r="D33" s="24" t="n">
        <f aca="false">D31*Hypothèses!$B$71*12</f>
        <v>18000000</v>
      </c>
    </row>
    <row r="34" customFormat="false" ht="15" hidden="false" customHeight="false" outlineLevel="0" collapsed="false">
      <c r="A34" s="5" t="s">
        <v>176</v>
      </c>
      <c r="B34" s="24" t="n">
        <f aca="false">SUM('Mensuel - An 1'!B33:M33)</f>
        <v>1591712.65204426</v>
      </c>
      <c r="C34" s="24" t="n">
        <f aca="false">Hypothèses!$B$74</f>
        <v>3000000</v>
      </c>
      <c r="D34" s="24" t="n">
        <f aca="false">Hypothèses!$B$75</f>
        <v>6000000</v>
      </c>
    </row>
    <row r="35" customFormat="false" ht="15" hidden="false" customHeight="false" outlineLevel="0" collapsed="false">
      <c r="A35" s="5" t="s">
        <v>177</v>
      </c>
      <c r="B35" s="24" t="n">
        <f aca="false">SUM('Mensuel - An 1'!B34:M34)</f>
        <v>720000</v>
      </c>
      <c r="C35" s="24" t="n">
        <f aca="false">Hypothèses!$B$77*12</f>
        <v>1800000</v>
      </c>
      <c r="D35" s="24" t="n">
        <f aca="false">Hypothèses!$B$78*12</f>
        <v>3600000</v>
      </c>
    </row>
    <row r="36" customFormat="false" ht="15" hidden="false" customHeight="false" outlineLevel="0" collapsed="false">
      <c r="A36" s="16" t="s">
        <v>160</v>
      </c>
      <c r="B36" s="25" t="n">
        <f aca="false">B32+B33+B34+B35</f>
        <v>4379393.83450583</v>
      </c>
      <c r="C36" s="25" t="n">
        <f aca="false">C32+C33+C34+C35</f>
        <v>14700000</v>
      </c>
      <c r="D36" s="25" t="n">
        <f aca="false">D32+D33+D34+D35</f>
        <v>29400000</v>
      </c>
    </row>
    <row r="37" customFormat="false" ht="15" hidden="false" customHeight="false" outlineLevel="0" collapsed="false">
      <c r="A37" s="26" t="s">
        <v>161</v>
      </c>
      <c r="B37" s="26"/>
      <c r="C37" s="26"/>
      <c r="D37" s="26"/>
    </row>
    <row r="38" customFormat="false" ht="15" hidden="false" customHeight="false" outlineLevel="0" collapsed="false">
      <c r="A38" s="16" t="s">
        <v>162</v>
      </c>
      <c r="B38" s="27" t="n">
        <f aca="false">B29-B36</f>
        <v>3848200.54762204</v>
      </c>
      <c r="C38" s="27" t="n">
        <f aca="false">C29-C36</f>
        <v>10640355.7406596</v>
      </c>
      <c r="D38" s="27" t="n">
        <f aca="false">D29-D36</f>
        <v>12044450.2618656</v>
      </c>
    </row>
    <row r="39" customFormat="false" ht="15" hidden="false" customHeight="false" outlineLevel="0" collapsed="false">
      <c r="A39" s="16" t="s">
        <v>178</v>
      </c>
      <c r="B39" s="28" t="n">
        <f aca="false">B38/B21</f>
        <v>0.330535109642334</v>
      </c>
      <c r="C39" s="28" t="n">
        <f aca="false">C38/C21</f>
        <v>0.270325173503205</v>
      </c>
      <c r="D39" s="28" t="n">
        <f aca="false">D38/D21</f>
        <v>0.179274926275522</v>
      </c>
    </row>
    <row r="40" customFormat="false" ht="15" hidden="false" customHeight="false" outlineLevel="0" collapsed="false">
      <c r="A40" s="16" t="s">
        <v>179</v>
      </c>
      <c r="B40" s="25" t="n">
        <f aca="false">'Mensuel - An 1'!$M$38</f>
        <v>3848200.54762204</v>
      </c>
      <c r="C40" s="25" t="n">
        <f aca="false">B40+C38</f>
        <v>14488556.2882816</v>
      </c>
      <c r="D40" s="25" t="n">
        <f aca="false">C40+D38</f>
        <v>26533006.5501472</v>
      </c>
    </row>
  </sheetData>
  <mergeCells count="4">
    <mergeCell ref="A1:D1"/>
    <mergeCell ref="A23:D23"/>
    <mergeCell ref="A30:D30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180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181</v>
      </c>
      <c r="B2" s="2"/>
      <c r="C2" s="2"/>
      <c r="D2" s="2"/>
      <c r="E2" s="2"/>
    </row>
    <row r="4" customFormat="false" ht="15" hidden="false" customHeight="false" outlineLevel="0" collapsed="false">
      <c r="A4" s="29" t="s">
        <v>182</v>
      </c>
      <c r="B4" s="30"/>
      <c r="C4" s="30"/>
      <c r="D4" s="30"/>
      <c r="E4" s="30"/>
    </row>
    <row r="5" customFormat="false" ht="22.35" hidden="false" customHeight="false" outlineLevel="0" collapsed="false">
      <c r="A5" s="5" t="s">
        <v>183</v>
      </c>
      <c r="B5" s="10" t="n">
        <v>-0.3</v>
      </c>
      <c r="C5" s="31"/>
      <c r="D5" s="31"/>
      <c r="E5" s="8" t="s">
        <v>184</v>
      </c>
    </row>
    <row r="6" customFormat="false" ht="15" hidden="false" customHeight="false" outlineLevel="0" collapsed="false">
      <c r="A6" s="5" t="s">
        <v>185</v>
      </c>
      <c r="B6" s="10" t="n">
        <v>-0.1</v>
      </c>
      <c r="C6" s="31"/>
      <c r="D6" s="31"/>
      <c r="E6" s="8" t="s">
        <v>186</v>
      </c>
    </row>
    <row r="7" customFormat="false" ht="15" hidden="false" customHeight="false" outlineLevel="0" collapsed="false">
      <c r="A7" s="5" t="s">
        <v>187</v>
      </c>
      <c r="B7" s="10" t="n">
        <v>-0.15</v>
      </c>
      <c r="C7" s="31"/>
      <c r="D7" s="31"/>
      <c r="E7" s="8" t="s">
        <v>188</v>
      </c>
    </row>
    <row r="8" customFormat="false" ht="22.35" hidden="false" customHeight="false" outlineLevel="0" collapsed="false">
      <c r="A8" s="5" t="s">
        <v>189</v>
      </c>
      <c r="B8" s="10" t="n">
        <v>-0.5</v>
      </c>
      <c r="C8" s="31"/>
      <c r="D8" s="31"/>
      <c r="E8" s="8" t="s">
        <v>190</v>
      </c>
    </row>
    <row r="9" customFormat="false" ht="22.35" hidden="false" customHeight="false" outlineLevel="0" collapsed="false">
      <c r="A9" s="5" t="s">
        <v>191</v>
      </c>
      <c r="B9" s="10" t="n">
        <v>0.2</v>
      </c>
      <c r="C9" s="31"/>
      <c r="D9" s="31"/>
      <c r="E9" s="8" t="s">
        <v>192</v>
      </c>
    </row>
    <row r="11" customFormat="false" ht="15" hidden="false" customHeight="false" outlineLevel="0" collapsed="false">
      <c r="A11" s="32" t="s">
        <v>193</v>
      </c>
      <c r="B11" s="32" t="s">
        <v>194</v>
      </c>
      <c r="C11" s="32" t="s">
        <v>195</v>
      </c>
      <c r="D11" s="32" t="s">
        <v>196</v>
      </c>
      <c r="E11" s="32" t="s">
        <v>197</v>
      </c>
    </row>
    <row r="12" customFormat="false" ht="15" hidden="false" customHeight="false" outlineLevel="0" collapsed="false">
      <c r="A12" s="5" t="s">
        <v>169</v>
      </c>
      <c r="B12" s="33" t="n">
        <f aca="false">'Annuel - An 1 à 3'!B5</f>
        <v>47.8765661266892</v>
      </c>
      <c r="C12" s="33" t="n">
        <f aca="false">B12*(1+$B$5)</f>
        <v>33.5135962886824</v>
      </c>
      <c r="D12" s="33" t="n">
        <f aca="false">C12-B12</f>
        <v>-14.3629698380068</v>
      </c>
      <c r="E12" s="31"/>
    </row>
    <row r="13" customFormat="false" ht="15" hidden="false" customHeight="false" outlineLevel="0" collapsed="false">
      <c r="A13" s="5" t="s">
        <v>170</v>
      </c>
      <c r="B13" s="33" t="n">
        <f aca="false">'Annuel - An 1 à 3'!B6</f>
        <v>31.4382830633446</v>
      </c>
      <c r="C13" s="33" t="n">
        <f aca="false">('Annuel - An 1 à 3'!$B$4+C12)/2</f>
        <v>24.2567981443412</v>
      </c>
      <c r="D13" s="33" t="n">
        <f aca="false">C13-B13</f>
        <v>-7.18148491900338</v>
      </c>
      <c r="E13" s="31"/>
    </row>
    <row r="14" customFormat="false" ht="15" hidden="false" customHeight="false" outlineLevel="0" collapsed="false">
      <c r="A14" s="5" t="s">
        <v>131</v>
      </c>
      <c r="B14" s="34" t="n">
        <f aca="false">'Annuel - An 1 à 3'!B7</f>
        <v>13</v>
      </c>
      <c r="C14" s="34" t="n">
        <f aca="false">B14*(1+$B$6)</f>
        <v>11.7</v>
      </c>
      <c r="D14" s="34" t="n">
        <f aca="false">C14-B14</f>
        <v>-1.3</v>
      </c>
      <c r="E14" s="31"/>
    </row>
    <row r="15" customFormat="false" ht="15" hidden="false" customHeight="false" outlineLevel="0" collapsed="false">
      <c r="A15" s="5" t="s">
        <v>171</v>
      </c>
      <c r="B15" s="33" t="n">
        <f aca="false">'Annuel - An 1 à 3'!B8</f>
        <v>5204.90529544395</v>
      </c>
      <c r="C15" s="33" t="n">
        <f aca="false">C13*C14*12</f>
        <v>3405.65445946551</v>
      </c>
      <c r="D15" s="33" t="n">
        <f aca="false">C15-B15</f>
        <v>-1799.25083597844</v>
      </c>
      <c r="E15" s="31"/>
    </row>
    <row r="16" customFormat="false" ht="15" hidden="false" customHeight="false" outlineLevel="0" collapsed="false">
      <c r="A16" s="5" t="s">
        <v>133</v>
      </c>
      <c r="B16" s="35" t="n">
        <f aca="false">'Annuel - An 1 à 3'!B9</f>
        <v>0.675</v>
      </c>
      <c r="C16" s="35" t="n">
        <f aca="false">B16*(1+$B$7)</f>
        <v>0.57375</v>
      </c>
      <c r="D16" s="35" t="n">
        <f aca="false">C16-B16</f>
        <v>-0.10125</v>
      </c>
      <c r="E16" s="31"/>
    </row>
    <row r="17" customFormat="false" ht="15" hidden="false" customHeight="false" outlineLevel="0" collapsed="false">
      <c r="A17" s="5" t="s">
        <v>134</v>
      </c>
      <c r="B17" s="36" t="n">
        <f aca="false">'Annuel - An 1 à 3'!B10</f>
        <v>2.7</v>
      </c>
      <c r="C17" s="36" t="n">
        <f aca="false">Hypothèses!$B$25*C16</f>
        <v>2.295</v>
      </c>
      <c r="D17" s="36" t="n">
        <f aca="false">C17-B17</f>
        <v>-0.405</v>
      </c>
      <c r="E17" s="31"/>
    </row>
    <row r="18" customFormat="false" ht="15" hidden="false" customHeight="false" outlineLevel="0" collapsed="false">
      <c r="A18" s="16" t="s">
        <v>135</v>
      </c>
      <c r="B18" s="23" t="n">
        <f aca="false">'Annuel - An 1 à 3'!B11</f>
        <v>14577.4367696878</v>
      </c>
      <c r="C18" s="23" t="n">
        <f aca="false">C15*C17</f>
        <v>7815.97698447334</v>
      </c>
      <c r="D18" s="23" t="n">
        <f aca="false">C18-B18</f>
        <v>-6761.45978521447</v>
      </c>
      <c r="E18" s="31"/>
    </row>
    <row r="19" customFormat="false" ht="15" hidden="false" customHeight="false" outlineLevel="0" collapsed="false">
      <c r="A19" s="5" t="s">
        <v>136</v>
      </c>
      <c r="B19" s="35" t="n">
        <f aca="false">'Annuel - An 1 à 3'!B12</f>
        <v>0.065</v>
      </c>
      <c r="C19" s="35" t="n">
        <f aca="false">B19*(1+$B$8)</f>
        <v>0.0325</v>
      </c>
      <c r="D19" s="35" t="n">
        <f aca="false">C19-B19</f>
        <v>-0.0325</v>
      </c>
      <c r="E19" s="31"/>
    </row>
    <row r="20" customFormat="false" ht="15" hidden="false" customHeight="false" outlineLevel="0" collapsed="false">
      <c r="A20" s="16" t="s">
        <v>143</v>
      </c>
      <c r="B20" s="27" t="n">
        <f aca="false">'Annuel - An 1 à 3'!B19</f>
        <v>83159537.2681355</v>
      </c>
      <c r="C20" s="27" t="n">
        <f aca="false">C18*((1-C19)*'Annuel - An 1 à 3'!$B$15+C19*'Annuel - An 1 à 3'!$B$16)</f>
        <v>43303638.8847761</v>
      </c>
      <c r="D20" s="27" t="n">
        <f aca="false">C20-B20</f>
        <v>-39855898.3833594</v>
      </c>
      <c r="E20" s="31"/>
    </row>
    <row r="21" customFormat="false" ht="15" hidden="false" customHeight="false" outlineLevel="0" collapsed="false">
      <c r="A21" s="16" t="s">
        <v>145</v>
      </c>
      <c r="B21" s="27" t="n">
        <f aca="false">'Annuel - An 1 à 3'!B21</f>
        <v>11642335.217539</v>
      </c>
      <c r="C21" s="27" t="n">
        <f aca="false">C20*'Annuel - An 1 à 3'!$B$20</f>
        <v>6062509.44386865</v>
      </c>
      <c r="D21" s="27" t="n">
        <f aca="false">C21-B21</f>
        <v>-5579825.77367032</v>
      </c>
      <c r="E21" s="31"/>
    </row>
    <row r="22" customFormat="false" ht="15" hidden="false" customHeight="false" outlineLevel="0" collapsed="false">
      <c r="A22" s="5" t="s">
        <v>152</v>
      </c>
      <c r="B22" s="12" t="n">
        <f aca="false">'Annuel - An 1 à 3'!B28</f>
        <v>3414740.83541109</v>
      </c>
      <c r="C22" s="12" t="n">
        <f aca="false">C18*'Annuel - An 1 à 3'!$B$22*Hypothèses!$B$57+C20*'Annuel - An 1 à 3'!$B$22*Hypothèses!$B$58+'Annuel - An 1 à 3'!$B$27</f>
        <v>1780933.95567882</v>
      </c>
      <c r="D22" s="12" t="n">
        <f aca="false">C22-B22</f>
        <v>-1633806.87973227</v>
      </c>
      <c r="E22" s="31"/>
    </row>
    <row r="23" customFormat="false" ht="15" hidden="false" customHeight="false" outlineLevel="0" collapsed="false">
      <c r="A23" s="16" t="s">
        <v>153</v>
      </c>
      <c r="B23" s="27" t="n">
        <f aca="false">'Annuel - An 1 à 3'!B29</f>
        <v>8227594.38212788</v>
      </c>
      <c r="C23" s="27" t="n">
        <f aca="false">C21-C22</f>
        <v>4281575.48818983</v>
      </c>
      <c r="D23" s="27" t="n">
        <f aca="false">C23-B23</f>
        <v>-3946018.89393805</v>
      </c>
      <c r="E23" s="31"/>
    </row>
    <row r="24" customFormat="false" ht="22.35" hidden="false" customHeight="false" outlineLevel="0" collapsed="false">
      <c r="A24" s="5" t="s">
        <v>160</v>
      </c>
      <c r="B24" s="12" t="n">
        <f aca="false">'Annuel - An 1 à 3'!B36</f>
        <v>4379393.83450583</v>
      </c>
      <c r="C24" s="12" t="n">
        <f aca="false">'Annuel - An 1 à 3'!$B$32+'Annuel - An 1 à 3'!$B$33+'Annuel - An 1 à 3'!$B$34*(1+$B$9)+'Annuel - An 1 à 3'!$B$35</f>
        <v>4697736.36491468</v>
      </c>
      <c r="D24" s="12" t="n">
        <f aca="false">C24-B24</f>
        <v>318342.530408851</v>
      </c>
      <c r="E24" s="8" t="s">
        <v>198</v>
      </c>
    </row>
    <row r="25" customFormat="false" ht="15" hidden="false" customHeight="false" outlineLevel="0" collapsed="false">
      <c r="A25" s="16" t="s">
        <v>162</v>
      </c>
      <c r="B25" s="27" t="n">
        <f aca="false">'Annuel - An 1 à 3'!B38</f>
        <v>3848200.54762204</v>
      </c>
      <c r="C25" s="27" t="n">
        <f aca="false">C23-C24</f>
        <v>-416160.876724854</v>
      </c>
      <c r="D25" s="27" t="n">
        <f aca="false">C25-B25</f>
        <v>-4264361.4243469</v>
      </c>
      <c r="E25" s="31"/>
    </row>
    <row r="26" customFormat="false" ht="15" hidden="false" customHeight="false" outlineLevel="0" collapsed="false">
      <c r="A26" s="16" t="s">
        <v>178</v>
      </c>
      <c r="B26" s="28" t="n">
        <f aca="false">'Annuel - An 1 à 3'!B39</f>
        <v>0.330535109642334</v>
      </c>
      <c r="C26" s="28" t="n">
        <f aca="false">C25/C21</f>
        <v>-0.068644986136185</v>
      </c>
      <c r="D26" s="28" t="n">
        <f aca="false">C26-B26</f>
        <v>-0.399180095778519</v>
      </c>
      <c r="E26" s="31"/>
    </row>
    <row r="28" customFormat="false" ht="30" hidden="false" customHeight="true" outlineLevel="0" collapsed="false">
      <c r="A28" s="37" t="s">
        <v>199</v>
      </c>
      <c r="B28" s="37"/>
      <c r="C28" s="37"/>
      <c r="D28" s="37"/>
      <c r="E28" s="37"/>
    </row>
  </sheetData>
  <mergeCells count="3">
    <mergeCell ref="A1:E1"/>
    <mergeCell ref="A2:E2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38" t="s">
        <v>200</v>
      </c>
    </row>
    <row r="2" customFormat="false" ht="15" hidden="false" customHeight="false" outlineLevel="0" collapsed="false">
      <c r="A2" s="39"/>
    </row>
    <row r="3" customFormat="false" ht="15" hidden="false" customHeight="false" outlineLevel="0" collapsed="false">
      <c r="A3" s="40" t="s">
        <v>201</v>
      </c>
    </row>
    <row r="4" customFormat="false" ht="30" hidden="false" customHeight="true" outlineLevel="0" collapsed="false">
      <c r="A4" s="41" t="s">
        <v>202</v>
      </c>
    </row>
    <row r="5" customFormat="false" ht="30" hidden="false" customHeight="true" outlineLevel="0" collapsed="false">
      <c r="A5" s="41" t="s">
        <v>203</v>
      </c>
    </row>
    <row r="6" customFormat="false" ht="15" hidden="false" customHeight="false" outlineLevel="0" collapsed="false">
      <c r="A6" s="39"/>
    </row>
    <row r="7" customFormat="false" ht="15" hidden="false" customHeight="false" outlineLevel="0" collapsed="false">
      <c r="A7" s="40" t="s">
        <v>204</v>
      </c>
    </row>
    <row r="8" customFormat="false" ht="30" hidden="false" customHeight="true" outlineLevel="0" collapsed="false">
      <c r="A8" s="41" t="s">
        <v>205</v>
      </c>
    </row>
    <row r="9" customFormat="false" ht="30" hidden="false" customHeight="true" outlineLevel="0" collapsed="false">
      <c r="A9" s="41" t="s">
        <v>206</v>
      </c>
    </row>
    <row r="10" customFormat="false" ht="30" hidden="false" customHeight="true" outlineLevel="0" collapsed="false">
      <c r="A10" s="41" t="s">
        <v>207</v>
      </c>
    </row>
    <row r="11" customFormat="false" ht="15" hidden="false" customHeight="false" outlineLevel="0" collapsed="false">
      <c r="A11" s="39"/>
    </row>
    <row r="12" customFormat="false" ht="15" hidden="false" customHeight="false" outlineLevel="0" collapsed="false">
      <c r="A12" s="40" t="s">
        <v>208</v>
      </c>
    </row>
    <row r="13" customFormat="false" ht="30" hidden="false" customHeight="true" outlineLevel="0" collapsed="false">
      <c r="A13" s="41" t="s">
        <v>209</v>
      </c>
    </row>
    <row r="14" customFormat="false" ht="30" hidden="false" customHeight="true" outlineLevel="0" collapsed="false">
      <c r="A14" s="41" t="s">
        <v>210</v>
      </c>
    </row>
    <row r="15" customFormat="false" ht="15" hidden="false" customHeight="false" outlineLevel="0" collapsed="false">
      <c r="A15" s="39"/>
    </row>
    <row r="16" customFormat="false" ht="15" hidden="false" customHeight="false" outlineLevel="0" collapsed="false">
      <c r="A16" s="40" t="s">
        <v>211</v>
      </c>
    </row>
    <row r="17" customFormat="false" ht="30" hidden="false" customHeight="true" outlineLevel="0" collapsed="false">
      <c r="A17" s="41" t="s">
        <v>212</v>
      </c>
    </row>
    <row r="18" customFormat="false" ht="30" hidden="false" customHeight="true" outlineLevel="0" collapsed="false">
      <c r="A18" s="41" t="s">
        <v>213</v>
      </c>
    </row>
    <row r="19" customFormat="false" ht="30" hidden="false" customHeight="true" outlineLevel="0" collapsed="false">
      <c r="A19" s="41" t="s">
        <v>214</v>
      </c>
    </row>
    <row r="20" customFormat="false" ht="30" hidden="false" customHeight="true" outlineLevel="0" collapsed="false">
      <c r="A20" s="41" t="s">
        <v>215</v>
      </c>
    </row>
    <row r="21" customFormat="false" ht="15" hidden="false" customHeight="false" outlineLevel="0" collapsed="false">
      <c r="A21" s="39"/>
    </row>
    <row r="22" customFormat="false" ht="15" hidden="false" customHeight="false" outlineLevel="0" collapsed="false">
      <c r="A22" s="40" t="s">
        <v>216</v>
      </c>
    </row>
    <row r="23" customFormat="false" ht="30" hidden="false" customHeight="true" outlineLevel="0" collapsed="false">
      <c r="A23" s="41" t="s">
        <v>217</v>
      </c>
    </row>
    <row r="24" customFormat="false" ht="30" hidden="false" customHeight="true" outlineLevel="0" collapsed="false">
      <c r="A24" s="41" t="s">
        <v>218</v>
      </c>
    </row>
    <row r="25" customFormat="false" ht="30" hidden="false" customHeight="true" outlineLevel="0" collapsed="false">
      <c r="A25" s="41" t="s">
        <v>219</v>
      </c>
    </row>
    <row r="26" customFormat="false" ht="30" hidden="false" customHeight="true" outlineLevel="0" collapsed="false">
      <c r="A26" s="41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2026-08-12T21:04:17Z</dcterms:created>
  <dc:creator>openpyxl</dc:creator>
  <dc:description/>
  <dc:language>en-US</dc:language>
  <cp:lastModifiedBy/>
  <dcterms:modified xsi:type="dcterms:W3CDTF">2026-08-12T21:04:17Z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